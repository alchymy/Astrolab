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18195" windowHeight="11310"/>
  </bookViews>
  <sheets>
    <sheet name="Source" sheetId="1" r:id="rId1"/>
    <sheet name="Chart1" sheetId="4" r:id="rId2"/>
    <sheet name="ChartingCopy" sheetId="2" r:id="rId3"/>
  </sheets>
  <calcPr calcId="145621"/>
</workbook>
</file>

<file path=xl/calcChain.xml><?xml version="1.0" encoding="utf-8"?>
<calcChain xmlns="http://schemas.openxmlformats.org/spreadsheetml/2006/main">
  <c r="C84" i="2" l="1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<sst xmlns="http://schemas.openxmlformats.org/spreadsheetml/2006/main" count="433" uniqueCount="156">
  <si>
    <t>http://www.kayelaby.npl.co.uk/chemistry/3_1/3_1_3.html</t>
  </si>
  <si>
    <t>At.</t>
  </si>
  <si>
    <t>No.</t>
  </si>
  <si>
    <t>Element</t>
  </si>
  <si>
    <t>Sea water</t>
  </si>
  <si>
    <r>
      <t>μg dm</t>
    </r>
    <r>
      <rPr>
        <vertAlign val="superscript"/>
        <sz val="10"/>
        <color theme="1"/>
        <rFont val="Verdana"/>
        <family val="2"/>
      </rPr>
      <t>−3</t>
    </r>
  </si>
  <si>
    <t>Crustal</t>
  </si>
  <si>
    <t>rocks</t>
  </si>
  <si>
    <t>ppm</t>
  </si>
  <si>
    <t>Meteorites</t>
  </si>
  <si>
    <t>Sun</t>
  </si>
  <si>
    <t>atoms</t>
  </si>
  <si>
    <t>Solar</t>
  </si>
  <si>
    <t>system</t>
  </si>
  <si>
    <t>Stony</t>
  </si>
  <si>
    <t>Iron</t>
  </si>
  <si>
    <t> 1</t>
  </si>
  <si>
    <t>        H</t>
  </si>
  <si>
    <t>—</t>
  </si>
  <si>
    <t> 2</t>
  </si>
  <si>
    <t>        He</t>
  </si>
  <si>
    <t> 3</t>
  </si>
  <si>
    <t>        Li</t>
  </si>
  <si>
    <t> 4</t>
  </si>
  <si>
    <t>        Be</t>
  </si>
  <si>
    <t>          0.4</t>
  </si>
  <si>
    <t> 5</t>
  </si>
  <si>
    <t>        B</t>
  </si>
  <si>
    <t>      11</t>
  </si>
  <si>
    <t>  6</t>
  </si>
  <si>
    <t>        C</t>
  </si>
  <si>
    <t>  7</t>
  </si>
  <si>
    <t>        N</t>
  </si>
  <si>
    <t>  8</t>
  </si>
  <si>
    <t>        O</t>
  </si>
  <si>
    <t>  9</t>
  </si>
  <si>
    <t>        F</t>
  </si>
  <si>
    <t>        Ne</t>
  </si>
  <si>
    <t>        Na</t>
  </si>
  <si>
    <t>        Mg</t>
  </si>
  <si>
    <t>        Al</t>
  </si>
  <si>
    <t>        Si</t>
  </si>
  <si>
    <t>        P</t>
  </si>
  <si>
    <t>        S</t>
  </si>
  <si>
    <t>        Cl</t>
  </si>
  <si>
    <t>        Ar</t>
  </si>
  <si>
    <t>        K</t>
  </si>
  <si>
    <t>        Ca</t>
  </si>
  <si>
    <t>        Sc</t>
  </si>
  <si>
    <t>    35</t>
  </si>
  <si>
    <t>        Ti</t>
  </si>
  <si>
    <t>        V</t>
  </si>
  <si>
    <t>        Cr</t>
  </si>
  <si>
    <t>        Mn</t>
  </si>
  <si>
    <t>        Fe</t>
  </si>
  <si>
    <t>        Co</t>
  </si>
  <si>
    <t>        Ni</t>
  </si>
  <si>
    <t>        Cu</t>
  </si>
  <si>
    <t>        Zn</t>
  </si>
  <si>
    <t>        Ga</t>
  </si>
  <si>
    <t>   21</t>
  </si>
  <si>
    <t>        Ge</t>
  </si>
  <si>
    <t>   72</t>
  </si>
  <si>
    <t> 33</t>
  </si>
  <si>
    <t>        As</t>
  </si>
  <si>
    <t>        Se</t>
  </si>
  <si>
    <t>        Br</t>
  </si>
  <si>
    <t>        Kr</t>
  </si>
  <si>
    <t>        Rb</t>
  </si>
  <si>
    <t>        Sr</t>
  </si>
  <si>
    <t>        Y</t>
  </si>
  <si>
    <t>        Zr</t>
  </si>
  <si>
    <t>        Nb</t>
  </si>
  <si>
    <t>        Mo</t>
  </si>
  <si>
    <t>        Tc</t>
  </si>
  <si>
    <t>Unstable with short period</t>
  </si>
  <si>
    <t>        Ru</t>
  </si>
  <si>
    <t>        Rh</t>
  </si>
  <si>
    <t>  0.34</t>
  </si>
  <si>
    <t>        Pd</t>
  </si>
  <si>
    <t>        Ag</t>
  </si>
  <si>
    <t>        Cd</t>
  </si>
  <si>
    <t>        In</t>
  </si>
  <si>
    <t>        Sn</t>
  </si>
  <si>
    <t>        Sb</t>
  </si>
  <si>
    <t>        Te</t>
  </si>
  <si>
    <t>        I</t>
  </si>
  <si>
    <t>        Xe</t>
  </si>
  <si>
    <t>        Cs</t>
  </si>
  <si>
    <t>  0.37</t>
  </si>
  <si>
    <t>        Ba</t>
  </si>
  <si>
    <t>        La</t>
  </si>
  <si>
    <t>        Ce</t>
  </si>
  <si>
    <t>        Pr</t>
  </si>
  <si>
    <t>  0.14</t>
  </si>
  <si>
    <t>        Nd</t>
  </si>
  <si>
    <t>        Pm</t>
  </si>
  <si>
    <t>        Sm</t>
  </si>
  <si>
    <t>        Eu</t>
  </si>
  <si>
    <t>  0.09</t>
  </si>
  <si>
    <t>        Gd</t>
  </si>
  <si>
    <t>        Tb</t>
  </si>
  <si>
    <t>        Dy</t>
  </si>
  <si>
    <t>  0.35</t>
  </si>
  <si>
    <t>        Ho</t>
  </si>
  <si>
    <t>        Er</t>
  </si>
  <si>
    <t>  0.24</t>
  </si>
  <si>
    <t>        Tm</t>
  </si>
  <si>
    <t>        Yb</t>
  </si>
  <si>
    <t>        Lu</t>
  </si>
  <si>
    <t>        Hf</t>
  </si>
  <si>
    <t>  0.21</t>
  </si>
  <si>
    <t> 73</t>
  </si>
  <si>
    <r>
      <t>        T</t>
    </r>
    <r>
      <rPr>
        <i/>
        <sz val="10"/>
        <color theme="1"/>
        <rFont val="Verdana"/>
        <family val="2"/>
      </rPr>
      <t>a</t>
    </r>
  </si>
  <si>
    <t>        W</t>
  </si>
  <si>
    <t>        Re</t>
  </si>
  <si>
    <t>  0.05</t>
  </si>
  <si>
    <t>        Os</t>
  </si>
  <si>
    <t>        Ir</t>
  </si>
  <si>
    <t>        Pt</t>
  </si>
  <si>
    <t>        Au</t>
  </si>
  <si>
    <t> 80</t>
  </si>
  <si>
    <t>        Hg</t>
  </si>
  <si>
    <t>        Tl</t>
  </si>
  <si>
    <t>        Pb</t>
  </si>
  <si>
    <t>        Bi</t>
  </si>
  <si>
    <t>84–89</t>
  </si>
  <si>
    <t>Po–Ac</t>
  </si>
  <si>
    <t>        Th</t>
  </si>
  <si>
    <t>        Pa</t>
  </si>
  <si>
    <t>        U</t>
  </si>
  <si>
    <t>93–102</t>
  </si>
  <si>
    <t>Np–No</t>
  </si>
  <si>
    <t> 1.3</t>
  </si>
  <si>
    <t>   0.02</t>
  </si>
  <si>
    <t>   0.05</t>
  </si>
  <si>
    <t>   0.03</t>
  </si>
  <si>
    <t>   0.15</t>
  </si>
  <si>
    <t>    0.36</t>
  </si>
  <si>
    <t> 1.8</t>
  </si>
  <si>
    <t> 0.3</t>
  </si>
  <si>
    <t> 0.2</t>
  </si>
  <si>
    <t>Atomic 
Number</t>
  </si>
  <si>
    <t>log10(atoms)</t>
  </si>
  <si>
    <t>Source Reference is:</t>
  </si>
  <si>
    <t>&lt; 0.004</t>
  </si>
  <si>
    <t>&lt;0.0025</t>
  </si>
  <si>
    <t>&lt;0.008</t>
  </si>
  <si>
    <t>&lt;0.001</t>
  </si>
  <si>
    <t>Kaye &amp; Laby Tables of Physical and Chemical Constants</t>
  </si>
  <si>
    <t>The table gives an indication of the abundances of elements in nature.</t>
  </si>
  <si>
    <t>Parts per million, by mass, are denoted by 'ppm', whereas abundances stated in 'atoms' are numbers of atoms per 10^6 atoms of silicon.</t>
  </si>
  <si>
    <t>Figures here are simply reproduced from the table for use, for notes on accuracy of some figures refer to the original web page.</t>
  </si>
  <si>
    <t>N</t>
  </si>
  <si>
    <t>Sun
atoms</t>
  </si>
  <si>
    <t>Solar Sys
atoms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</si>
</sst>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</font>
    <font>
      <sz val="10"/>
      <color theme="1"/>
      <name val="Verdana"/>
      <family val="2"/>
    </font>
    <font>
      <i/>
      <sz val="10"/>
      <color theme="1"/>
      <name val="Verdana"/>
      <family val="2"/>
    </font>
    <font>
      <vertAlign val="superscript"/>
      <sz val="10"/>
      <color theme="1"/>
      <name val="Verdana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top" wrapText="1"/>
    </xf>
    <xf numFmtId="0" fontId="2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right" vertical="center" wrapText="1"/>
    </xf>
    <xf numFmtId="0" fontId="0" fillId="0" borderId="0" xfId="0" applyBorder="1"/>
    <xf numFmtId="11" fontId="1" fillId="0" borderId="2" xfId="0" applyNumberFormat="1" applyFont="1" applyBorder="1" applyAlignment="1">
      <alignment horizontal="right" vertical="center" wrapText="1"/>
    </xf>
    <xf numFmtId="11" fontId="1" fillId="0" borderId="0" xfId="0" applyNumberFormat="1" applyFont="1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wrapText="1"/>
    </xf>
    <xf numFmtId="11" fontId="1" fillId="0" borderId="2" xfId="0" applyNumberFormat="1" applyFont="1" applyFill="1" applyBorder="1" applyAlignment="1">
      <alignment horizontal="center" vertical="center" wrapText="1"/>
    </xf>
    <xf numFmtId="11" fontId="1" fillId="0" borderId="0" xfId="0" applyNumberFormat="1" applyFont="1" applyFill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1" fillId="0" borderId="2" xfId="0" applyFont="1" applyFill="1" applyBorder="1" applyAlignment="1">
      <alignment horizontal="right" vertical="center" wrapText="1"/>
    </xf>
    <xf numFmtId="0" fontId="1" fillId="0" borderId="2" xfId="0" applyFont="1" applyFill="1" applyBorder="1" applyAlignment="1">
      <alignment horizontal="left" vertical="center" wrapText="1"/>
    </xf>
    <xf numFmtId="2" fontId="1" fillId="0" borderId="2" xfId="0" applyNumberFormat="1" applyFont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Solar System Abundances of Elements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3.538521744646219E-2"/>
          <c:y val="0.10675367036574945"/>
          <c:w val="0.94603870182564509"/>
          <c:h val="0.87005305591720283"/>
        </c:manualLayout>
      </c:layout>
      <c:scatterChart>
        <c:scatterStyle val="lineMarker"/>
        <c:varyColors val="0"/>
        <c:ser>
          <c:idx val="0"/>
          <c:order val="0"/>
          <c:tx>
            <c:strRef>
              <c:f>ChartingCopy!$C$1</c:f>
              <c:strCache>
                <c:ptCount val="1"/>
                <c:pt idx="0">
                  <c:v>log10(atoms)</c:v>
                </c:pt>
              </c:strCache>
            </c:strRef>
          </c:tx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        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        He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        Li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        Be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        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        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        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        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        F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        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        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        Mg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/>
                      <a:t>        Al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/>
                      <a:t>        Si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/>
                      <a:t>        P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US"/>
                      <a:t>        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/>
                      <a:t>        Cl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        Ar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/>
                      <a:t>        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        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/>
              <c:tx>
                <c:rich>
                  <a:bodyPr/>
                  <a:lstStyle/>
                  <a:p>
                    <a:r>
                      <a:rPr lang="en-US"/>
                      <a:t>        Sc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/>
              <c:tx>
                <c:rich>
                  <a:bodyPr/>
                  <a:lstStyle/>
                  <a:p>
                    <a:r>
                      <a:rPr lang="en-US"/>
                      <a:t>        Ti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/>
              <c:tx>
                <c:rich>
                  <a:bodyPr/>
                  <a:lstStyle/>
                  <a:p>
                    <a:r>
                      <a:rPr lang="en-US"/>
                      <a:t>        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/>
              <c:tx>
                <c:rich>
                  <a:bodyPr/>
                  <a:lstStyle/>
                  <a:p>
                    <a:r>
                      <a:rPr lang="en-US"/>
                      <a:t>        Cr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/>
              <c:tx>
                <c:rich>
                  <a:bodyPr/>
                  <a:lstStyle/>
                  <a:p>
                    <a:r>
                      <a:rPr lang="en-US"/>
                      <a:t>        Mn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en-US"/>
                      <a:t>        Fe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/>
              <c:tx>
                <c:rich>
                  <a:bodyPr/>
                  <a:lstStyle/>
                  <a:p>
                    <a:r>
                      <a:rPr lang="en-US"/>
                      <a:t>        Co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/>
              <c:tx>
                <c:rich>
                  <a:bodyPr/>
                  <a:lstStyle/>
                  <a:p>
                    <a:r>
                      <a:rPr lang="en-US"/>
                      <a:t>        Ni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layout/>
              <c:tx>
                <c:rich>
                  <a:bodyPr/>
                  <a:lstStyle/>
                  <a:p>
                    <a:r>
                      <a:rPr lang="en-US"/>
                      <a:t>        Cu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"/>
              <c:layout/>
              <c:tx>
                <c:rich>
                  <a:bodyPr/>
                  <a:lstStyle/>
                  <a:p>
                    <a:r>
                      <a:rPr lang="en-US"/>
                      <a:t>        Zn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/>
              <c:tx>
                <c:rich>
                  <a:bodyPr/>
                  <a:lstStyle/>
                  <a:p>
                    <a:r>
                      <a:rPr lang="en-US"/>
                      <a:t>        Ga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"/>
              <c:layout/>
              <c:tx>
                <c:rich>
                  <a:bodyPr/>
                  <a:lstStyle/>
                  <a:p>
                    <a:r>
                      <a:rPr lang="en-US"/>
                      <a:t>        Ge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"/>
              <c:layout/>
              <c:tx>
                <c:rich>
                  <a:bodyPr/>
                  <a:lstStyle/>
                  <a:p>
                    <a:r>
                      <a:rPr lang="en-US"/>
                      <a:t>        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"/>
              <c:layout/>
              <c:tx>
                <c:rich>
                  <a:bodyPr/>
                  <a:lstStyle/>
                  <a:p>
                    <a:r>
                      <a:rPr lang="en-US"/>
                      <a:t>        Se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"/>
              <c:layout/>
              <c:tx>
                <c:rich>
                  <a:bodyPr/>
                  <a:lstStyle/>
                  <a:p>
                    <a:r>
                      <a:rPr lang="en-US"/>
                      <a:t>        Br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"/>
              <c:layout/>
              <c:tx>
                <c:rich>
                  <a:bodyPr/>
                  <a:lstStyle/>
                  <a:p>
                    <a:r>
                      <a:rPr lang="en-US"/>
                      <a:t>        Kr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6"/>
              <c:layout/>
              <c:tx>
                <c:rich>
                  <a:bodyPr/>
                  <a:lstStyle/>
                  <a:p>
                    <a:r>
                      <a:rPr lang="en-US"/>
                      <a:t>        Rb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7"/>
              <c:layout/>
              <c:tx>
                <c:rich>
                  <a:bodyPr/>
                  <a:lstStyle/>
                  <a:p>
                    <a:r>
                      <a:rPr lang="en-US"/>
                      <a:t>        Sr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8"/>
              <c:layout/>
              <c:tx>
                <c:rich>
                  <a:bodyPr/>
                  <a:lstStyle/>
                  <a:p>
                    <a:r>
                      <a:rPr lang="en-US"/>
                      <a:t>        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9"/>
              <c:layout/>
              <c:tx>
                <c:rich>
                  <a:bodyPr/>
                  <a:lstStyle/>
                  <a:p>
                    <a:r>
                      <a:rPr lang="en-US"/>
                      <a:t>        Zr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0"/>
              <c:layout/>
              <c:tx>
                <c:rich>
                  <a:bodyPr/>
                  <a:lstStyle/>
                  <a:p>
                    <a:r>
                      <a:rPr lang="en-US"/>
                      <a:t>        Nb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1"/>
              <c:layout/>
              <c:tx>
                <c:rich>
                  <a:bodyPr/>
                  <a:lstStyle/>
                  <a:p>
                    <a:r>
                      <a:rPr lang="en-US"/>
                      <a:t>        Mo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2"/>
              <c:layout/>
              <c:tx>
                <c:rich>
                  <a:bodyPr/>
                  <a:lstStyle/>
                  <a:p>
                    <a:r>
                      <a:rPr lang="en-US"/>
                      <a:t>        Ru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3"/>
              <c:layout/>
              <c:tx>
                <c:rich>
                  <a:bodyPr/>
                  <a:lstStyle/>
                  <a:p>
                    <a:r>
                      <a:rPr lang="en-US"/>
                      <a:t>        Rh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4"/>
              <c:layout/>
              <c:tx>
                <c:rich>
                  <a:bodyPr/>
                  <a:lstStyle/>
                  <a:p>
                    <a:r>
                      <a:rPr lang="en-US"/>
                      <a:t>        Pd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5"/>
              <c:layout/>
              <c:tx>
                <c:rich>
                  <a:bodyPr/>
                  <a:lstStyle/>
                  <a:p>
                    <a:r>
                      <a:rPr lang="en-US"/>
                      <a:t>        Ag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6"/>
              <c:layout/>
              <c:tx>
                <c:rich>
                  <a:bodyPr/>
                  <a:lstStyle/>
                  <a:p>
                    <a:r>
                      <a:rPr lang="en-US"/>
                      <a:t>        Cd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7"/>
              <c:layout/>
              <c:tx>
                <c:rich>
                  <a:bodyPr/>
                  <a:lstStyle/>
                  <a:p>
                    <a:r>
                      <a:rPr lang="en-US"/>
                      <a:t>        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8"/>
              <c:layout/>
              <c:tx>
                <c:rich>
                  <a:bodyPr/>
                  <a:lstStyle/>
                  <a:p>
                    <a:r>
                      <a:rPr lang="en-US"/>
                      <a:t>        Sn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9"/>
              <c:layout/>
              <c:tx>
                <c:rich>
                  <a:bodyPr/>
                  <a:lstStyle/>
                  <a:p>
                    <a:r>
                      <a:rPr lang="en-US"/>
                      <a:t>        Sb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0"/>
              <c:layout/>
              <c:tx>
                <c:rich>
                  <a:bodyPr/>
                  <a:lstStyle/>
                  <a:p>
                    <a:r>
                      <a:rPr lang="en-US"/>
                      <a:t>        Te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1"/>
              <c:layout/>
              <c:tx>
                <c:rich>
                  <a:bodyPr/>
                  <a:lstStyle/>
                  <a:p>
                    <a:r>
                      <a:rPr lang="en-US"/>
                      <a:t>        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2"/>
              <c:layout/>
              <c:tx>
                <c:rich>
                  <a:bodyPr/>
                  <a:lstStyle/>
                  <a:p>
                    <a:r>
                      <a:rPr lang="en-US"/>
                      <a:t>        Xe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3"/>
              <c:layout/>
              <c:tx>
                <c:rich>
                  <a:bodyPr/>
                  <a:lstStyle/>
                  <a:p>
                    <a:r>
                      <a:rPr lang="en-US"/>
                      <a:t>        Cs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4"/>
              <c:layout/>
              <c:tx>
                <c:rich>
                  <a:bodyPr/>
                  <a:lstStyle/>
                  <a:p>
                    <a:r>
                      <a:rPr lang="en-US"/>
                      <a:t>        Ba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5"/>
              <c:layout/>
              <c:tx>
                <c:rich>
                  <a:bodyPr/>
                  <a:lstStyle/>
                  <a:p>
                    <a:r>
                      <a:rPr lang="en-US"/>
                      <a:t>        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6"/>
              <c:layout/>
              <c:tx>
                <c:rich>
                  <a:bodyPr/>
                  <a:lstStyle/>
                  <a:p>
                    <a:r>
                      <a:rPr lang="en-US"/>
                      <a:t>        Ce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7"/>
              <c:layout/>
              <c:tx>
                <c:rich>
                  <a:bodyPr/>
                  <a:lstStyle/>
                  <a:p>
                    <a:r>
                      <a:rPr lang="en-US"/>
                      <a:t>        Pr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8"/>
              <c:layout/>
              <c:tx>
                <c:rich>
                  <a:bodyPr/>
                  <a:lstStyle/>
                  <a:p>
                    <a:r>
                      <a:rPr lang="en-US"/>
                      <a:t>        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9"/>
              <c:layout/>
              <c:tx>
                <c:rich>
                  <a:bodyPr/>
                  <a:lstStyle/>
                  <a:p>
                    <a:r>
                      <a:rPr lang="en-US"/>
                      <a:t>        Sm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0"/>
              <c:layout/>
              <c:tx>
                <c:rich>
                  <a:bodyPr/>
                  <a:lstStyle/>
                  <a:p>
                    <a:r>
                      <a:rPr lang="en-US"/>
                      <a:t>        Eu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1"/>
              <c:layout/>
              <c:tx>
                <c:rich>
                  <a:bodyPr/>
                  <a:lstStyle/>
                  <a:p>
                    <a:r>
                      <a:rPr lang="en-US"/>
                      <a:t>        Gd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2"/>
              <c:layout/>
              <c:tx>
                <c:rich>
                  <a:bodyPr/>
                  <a:lstStyle/>
                  <a:p>
                    <a:r>
                      <a:rPr lang="en-US"/>
                      <a:t>        Tb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3"/>
              <c:layout/>
              <c:tx>
                <c:rich>
                  <a:bodyPr/>
                  <a:lstStyle/>
                  <a:p>
                    <a:r>
                      <a:rPr lang="en-US"/>
                      <a:t>        Dy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4"/>
              <c:layout/>
              <c:tx>
                <c:rich>
                  <a:bodyPr/>
                  <a:lstStyle/>
                  <a:p>
                    <a:r>
                      <a:rPr lang="en-US"/>
                      <a:t>        Ho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5"/>
              <c:layout/>
              <c:tx>
                <c:rich>
                  <a:bodyPr/>
                  <a:lstStyle/>
                  <a:p>
                    <a:r>
                      <a:rPr lang="en-US"/>
                      <a:t>        Er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6"/>
              <c:layout/>
              <c:tx>
                <c:rich>
                  <a:bodyPr/>
                  <a:lstStyle/>
                  <a:p>
                    <a:r>
                      <a:rPr lang="en-US"/>
                      <a:t>        Tm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7"/>
              <c:layout/>
              <c:tx>
                <c:rich>
                  <a:bodyPr/>
                  <a:lstStyle/>
                  <a:p>
                    <a:r>
                      <a:rPr lang="en-US"/>
                      <a:t>        Yb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8"/>
              <c:layout/>
              <c:tx>
                <c:rich>
                  <a:bodyPr/>
                  <a:lstStyle/>
                  <a:p>
                    <a:r>
                      <a:rPr lang="en-US"/>
                      <a:t>        Lu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9"/>
              <c:layout/>
              <c:tx>
                <c:rich>
                  <a:bodyPr/>
                  <a:lstStyle/>
                  <a:p>
                    <a:r>
                      <a:rPr lang="en-US"/>
                      <a:t>        Hf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0"/>
              <c:layout/>
              <c:tx>
                <c:rich>
                  <a:bodyPr/>
                  <a:lstStyle/>
                  <a:p>
                    <a:r>
                      <a:rPr lang="en-US"/>
                      <a:t>        Ta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1"/>
              <c:layout/>
              <c:tx>
                <c:rich>
                  <a:bodyPr/>
                  <a:lstStyle/>
                  <a:p>
                    <a:r>
                      <a:rPr lang="en-US"/>
                      <a:t>        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2"/>
              <c:layout/>
              <c:tx>
                <c:rich>
                  <a:bodyPr/>
                  <a:lstStyle/>
                  <a:p>
                    <a:r>
                      <a:rPr lang="en-US"/>
                      <a:t>        Re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3"/>
              <c:layout/>
              <c:tx>
                <c:rich>
                  <a:bodyPr/>
                  <a:lstStyle/>
                  <a:p>
                    <a:r>
                      <a:rPr lang="en-US"/>
                      <a:t>        Os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4"/>
              <c:layout/>
              <c:tx>
                <c:rich>
                  <a:bodyPr/>
                  <a:lstStyle/>
                  <a:p>
                    <a:r>
                      <a:rPr lang="en-US"/>
                      <a:t>        Ir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5"/>
              <c:layout/>
              <c:tx>
                <c:rich>
                  <a:bodyPr/>
                  <a:lstStyle/>
                  <a:p>
                    <a:r>
                      <a:rPr lang="en-US"/>
                      <a:t>        Pt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6"/>
              <c:layout/>
              <c:tx>
                <c:rich>
                  <a:bodyPr/>
                  <a:lstStyle/>
                  <a:p>
                    <a:r>
                      <a:rPr lang="en-US"/>
                      <a:t>        Au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7"/>
              <c:layout/>
              <c:tx>
                <c:rich>
                  <a:bodyPr/>
                  <a:lstStyle/>
                  <a:p>
                    <a:r>
                      <a:rPr lang="en-US"/>
                      <a:t>        Hg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8"/>
              <c:layout/>
              <c:tx>
                <c:rich>
                  <a:bodyPr/>
                  <a:lstStyle/>
                  <a:p>
                    <a:r>
                      <a:rPr lang="en-US"/>
                      <a:t>        Tl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9"/>
              <c:layout/>
              <c:tx>
                <c:rich>
                  <a:bodyPr/>
                  <a:lstStyle/>
                  <a:p>
                    <a:r>
                      <a:rPr lang="en-US"/>
                      <a:t>        Pb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0"/>
              <c:layout/>
              <c:tx>
                <c:rich>
                  <a:bodyPr/>
                  <a:lstStyle/>
                  <a:p>
                    <a:r>
                      <a:rPr lang="en-US"/>
                      <a:t>        Bi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1"/>
              <c:layout/>
              <c:tx>
                <c:rich>
                  <a:bodyPr/>
                  <a:lstStyle/>
                  <a:p>
                    <a:r>
                      <a:rPr lang="en-US"/>
                      <a:t>        Th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2"/>
              <c:layout/>
              <c:tx>
                <c:rich>
                  <a:bodyPr/>
                  <a:lstStyle/>
                  <a:p>
                    <a:r>
                      <a:rPr lang="en-US"/>
                      <a:t>        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ChartingCopy!$B$2:$B$84</c:f>
              <c:numCache>
                <c:formatCode>General</c:formatCode>
                <c:ptCount val="8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62</c:v>
                </c:pt>
                <c:pt idx="60">
                  <c:v>63</c:v>
                </c:pt>
                <c:pt idx="61">
                  <c:v>64</c:v>
                </c:pt>
                <c:pt idx="62">
                  <c:v>65</c:v>
                </c:pt>
                <c:pt idx="63">
                  <c:v>66</c:v>
                </c:pt>
                <c:pt idx="64">
                  <c:v>67</c:v>
                </c:pt>
                <c:pt idx="65">
                  <c:v>68</c:v>
                </c:pt>
                <c:pt idx="66">
                  <c:v>69</c:v>
                </c:pt>
                <c:pt idx="67">
                  <c:v>70</c:v>
                </c:pt>
                <c:pt idx="68">
                  <c:v>71</c:v>
                </c:pt>
                <c:pt idx="69">
                  <c:v>72</c:v>
                </c:pt>
                <c:pt idx="70">
                  <c:v>73</c:v>
                </c:pt>
                <c:pt idx="71">
                  <c:v>74</c:v>
                </c:pt>
                <c:pt idx="72">
                  <c:v>75</c:v>
                </c:pt>
                <c:pt idx="73">
                  <c:v>76</c:v>
                </c:pt>
                <c:pt idx="74">
                  <c:v>77</c:v>
                </c:pt>
                <c:pt idx="75">
                  <c:v>78</c:v>
                </c:pt>
                <c:pt idx="76">
                  <c:v>79</c:v>
                </c:pt>
                <c:pt idx="77">
                  <c:v>80</c:v>
                </c:pt>
                <c:pt idx="78">
                  <c:v>81</c:v>
                </c:pt>
                <c:pt idx="79">
                  <c:v>82</c:v>
                </c:pt>
                <c:pt idx="80">
                  <c:v>83</c:v>
                </c:pt>
                <c:pt idx="81">
                  <c:v>90</c:v>
                </c:pt>
                <c:pt idx="82">
                  <c:v>92</c:v>
                </c:pt>
              </c:numCache>
            </c:numRef>
          </c:xVal>
          <c:yVal>
            <c:numRef>
              <c:f>ChartingCopy!$C$2:$C$84</c:f>
              <c:numCache>
                <c:formatCode>General</c:formatCode>
                <c:ptCount val="83"/>
                <c:pt idx="0">
                  <c:v>10.447158031342219</c:v>
                </c:pt>
                <c:pt idx="1">
                  <c:v>9.4313637641589878</c:v>
                </c:pt>
                <c:pt idx="2">
                  <c:v>1.7558748556724915</c:v>
                </c:pt>
                <c:pt idx="3">
                  <c:v>-0.15490195998574319</c:v>
                </c:pt>
                <c:pt idx="4">
                  <c:v>1.3222192947339193</c:v>
                </c:pt>
                <c:pt idx="5">
                  <c:v>7</c:v>
                </c:pt>
                <c:pt idx="6">
                  <c:v>6.4913616938342731</c:v>
                </c:pt>
                <c:pt idx="7">
                  <c:v>7.3802112417116064</c:v>
                </c:pt>
                <c:pt idx="8">
                  <c:v>2.9294189257142929</c:v>
                </c:pt>
                <c:pt idx="9">
                  <c:v>6.4771212547196626</c:v>
                </c:pt>
                <c:pt idx="10">
                  <c:v>4.7558748556724915</c:v>
                </c:pt>
                <c:pt idx="11">
                  <c:v>6.0413926851582254</c:v>
                </c:pt>
                <c:pt idx="12">
                  <c:v>4.9294189257142929</c:v>
                </c:pt>
                <c:pt idx="13">
                  <c:v>6</c:v>
                </c:pt>
                <c:pt idx="14">
                  <c:v>4</c:v>
                </c:pt>
                <c:pt idx="15">
                  <c:v>5.7160033436347994</c:v>
                </c:pt>
                <c:pt idx="16">
                  <c:v>3.716003343634799</c:v>
                </c:pt>
                <c:pt idx="17">
                  <c:v>5</c:v>
                </c:pt>
                <c:pt idx="18">
                  <c:v>3.5797835966168101</c:v>
                </c:pt>
                <c:pt idx="19">
                  <c:v>4.7853298350107671</c:v>
                </c:pt>
                <c:pt idx="20">
                  <c:v>1.5314789170422551</c:v>
                </c:pt>
                <c:pt idx="21">
                  <c:v>3.3802112417116059</c:v>
                </c:pt>
                <c:pt idx="22">
                  <c:v>2.4623979978989561</c:v>
                </c:pt>
                <c:pt idx="23">
                  <c:v>4.1139433523068369</c:v>
                </c:pt>
                <c:pt idx="24">
                  <c:v>3.9777236052888476</c:v>
                </c:pt>
                <c:pt idx="25">
                  <c:v>5.9542425094393252</c:v>
                </c:pt>
                <c:pt idx="26">
                  <c:v>3.3617278360175931</c:v>
                </c:pt>
                <c:pt idx="27">
                  <c:v>4.6989700043360187</c:v>
                </c:pt>
                <c:pt idx="28">
                  <c:v>2.716003343634799</c:v>
                </c:pt>
                <c:pt idx="29">
                  <c:v>3.1139433523068369</c:v>
                </c:pt>
                <c:pt idx="30">
                  <c:v>1.5797835966168101</c:v>
                </c:pt>
                <c:pt idx="31">
                  <c:v>2.0791812460476247</c:v>
                </c:pt>
                <c:pt idx="32">
                  <c:v>0.81954393554186866</c:v>
                </c:pt>
                <c:pt idx="33">
                  <c:v>1.7993405494535817</c:v>
                </c:pt>
                <c:pt idx="34">
                  <c:v>1.0791812460476249</c:v>
                </c:pt>
                <c:pt idx="35">
                  <c:v>1.6812412373755872</c:v>
                </c:pt>
                <c:pt idx="36">
                  <c:v>0.84509804001425681</c:v>
                </c:pt>
                <c:pt idx="37">
                  <c:v>1.3802112417116059</c:v>
                </c:pt>
                <c:pt idx="38">
                  <c:v>0.66275783168157409</c:v>
                </c:pt>
                <c:pt idx="39">
                  <c:v>1.0569048513364727</c:v>
                </c:pt>
                <c:pt idx="40">
                  <c:v>-0.15490195998574319</c:v>
                </c:pt>
                <c:pt idx="41">
                  <c:v>0.41497334797081797</c:v>
                </c:pt>
                <c:pt idx="42">
                  <c:v>0.27875360095282892</c:v>
                </c:pt>
                <c:pt idx="43">
                  <c:v>-0.46852108295774486</c:v>
                </c:pt>
                <c:pt idx="44">
                  <c:v>0.14612803567823801</c:v>
                </c:pt>
                <c:pt idx="45">
                  <c:v>-0.30980391997148632</c:v>
                </c:pt>
                <c:pt idx="46">
                  <c:v>0.20411998265592479</c:v>
                </c:pt>
                <c:pt idx="47">
                  <c:v>-0.72124639904717103</c:v>
                </c:pt>
                <c:pt idx="48">
                  <c:v>0.59106460702649921</c:v>
                </c:pt>
                <c:pt idx="49">
                  <c:v>-0.50863830616572736</c:v>
                </c:pt>
                <c:pt idx="50">
                  <c:v>0.69019608002851374</c:v>
                </c:pt>
                <c:pt idx="51">
                  <c:v>-4.5757490560675115E-2</c:v>
                </c:pt>
                <c:pt idx="52">
                  <c:v>0.68124123737558717</c:v>
                </c:pt>
                <c:pt idx="53">
                  <c:v>-0.43179827593300502</c:v>
                </c:pt>
                <c:pt idx="54">
                  <c:v>0.65321251377534373</c:v>
                </c:pt>
                <c:pt idx="55">
                  <c:v>-0.35654732351381258</c:v>
                </c:pt>
                <c:pt idx="56">
                  <c:v>4.1392685158225077E-2</c:v>
                </c:pt>
                <c:pt idx="57">
                  <c:v>-0.769551078621726</c:v>
                </c:pt>
                <c:pt idx="58">
                  <c:v>-8.092190762392612E-2</c:v>
                </c:pt>
                <c:pt idx="59">
                  <c:v>-0.58502665202918203</c:v>
                </c:pt>
                <c:pt idx="60">
                  <c:v>-1.0132282657337552</c:v>
                </c:pt>
                <c:pt idx="61">
                  <c:v>-0.48148606012211248</c:v>
                </c:pt>
                <c:pt idx="62">
                  <c:v>-1.2218487496163564</c:v>
                </c:pt>
                <c:pt idx="63">
                  <c:v>-0.3979400086720376</c:v>
                </c:pt>
                <c:pt idx="64">
                  <c:v>-1.0506099933550872</c:v>
                </c:pt>
                <c:pt idx="65">
                  <c:v>-0.6020599913279624</c:v>
                </c:pt>
                <c:pt idx="66">
                  <c:v>-1.4202164033831899</c:v>
                </c:pt>
                <c:pt idx="67">
                  <c:v>-0.6020599913279624</c:v>
                </c:pt>
                <c:pt idx="68">
                  <c:v>-1.431798275933005</c:v>
                </c:pt>
                <c:pt idx="69">
                  <c:v>-0.82390874094431876</c:v>
                </c:pt>
                <c:pt idx="70">
                  <c:v>-1.4202164033831899</c:v>
                </c:pt>
                <c:pt idx="71">
                  <c:v>-0.88605664769316317</c:v>
                </c:pt>
                <c:pt idx="72">
                  <c:v>-1.3010299956639813</c:v>
                </c:pt>
                <c:pt idx="73">
                  <c:v>-0.17392519729917355</c:v>
                </c:pt>
                <c:pt idx="74">
                  <c:v>-0.18045606445813131</c:v>
                </c:pt>
                <c:pt idx="75">
                  <c:v>0.12710479836480765</c:v>
                </c:pt>
                <c:pt idx="76">
                  <c:v>-0.72124639904717103</c:v>
                </c:pt>
                <c:pt idx="77">
                  <c:v>-0.46852108295774486</c:v>
                </c:pt>
                <c:pt idx="78">
                  <c:v>-0.72124639904717103</c:v>
                </c:pt>
                <c:pt idx="79">
                  <c:v>0.49136169383427269</c:v>
                </c:pt>
                <c:pt idx="80">
                  <c:v>-0.85387196432176193</c:v>
                </c:pt>
                <c:pt idx="81">
                  <c:v>-1.3467874862246563</c:v>
                </c:pt>
                <c:pt idx="82">
                  <c:v>-1.744727494896694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162112"/>
        <c:axId val="93168384"/>
      </c:scatterChart>
      <c:valAx>
        <c:axId val="93162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Atomic Number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3168384"/>
        <c:crosses val="autoZero"/>
        <c:crossBetween val="midCat"/>
      </c:valAx>
      <c:valAx>
        <c:axId val="9316838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Abundance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3162112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zoomScale="110" workbookViewId="0" zoomToFit="1"/>
  </sheetViews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1205" cy="607002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99"/>
  <sheetViews>
    <sheetView tabSelected="1" workbookViewId="0">
      <selection activeCell="J13" sqref="J13"/>
    </sheetView>
  </sheetViews>
  <sheetFormatPr defaultRowHeight="15" x14ac:dyDescent="0.25"/>
  <cols>
    <col min="2" max="2" width="10.5703125" customWidth="1"/>
    <col min="3" max="6" width="9.85546875" bestFit="1" customWidth="1"/>
    <col min="7" max="7" width="10.42578125" customWidth="1"/>
    <col min="8" max="8" width="10.85546875" bestFit="1" customWidth="1"/>
    <col min="9" max="9" width="9.140625" customWidth="1"/>
  </cols>
  <sheetData>
    <row r="1" spans="1:8" x14ac:dyDescent="0.25">
      <c r="A1" t="s">
        <v>144</v>
      </c>
      <c r="F1" t="s">
        <v>0</v>
      </c>
    </row>
    <row r="2" spans="1:8" x14ac:dyDescent="0.25">
      <c r="A2" t="s">
        <v>149</v>
      </c>
    </row>
    <row r="3" spans="1:8" x14ac:dyDescent="0.25">
      <c r="A3" t="s">
        <v>150</v>
      </c>
    </row>
    <row r="4" spans="1:8" x14ac:dyDescent="0.25">
      <c r="A4" t="s">
        <v>151</v>
      </c>
    </row>
    <row r="5" spans="1:8" x14ac:dyDescent="0.25">
      <c r="A5" t="s">
        <v>152</v>
      </c>
    </row>
    <row r="6" spans="1:8" ht="15.75" thickBot="1" x14ac:dyDescent="0.3"/>
    <row r="7" spans="1:8" ht="26.25" thickBot="1" x14ac:dyDescent="0.3">
      <c r="A7" s="3" t="s">
        <v>1</v>
      </c>
      <c r="B7" s="31" t="s">
        <v>3</v>
      </c>
      <c r="C7" s="6" t="s">
        <v>4</v>
      </c>
      <c r="D7" s="3" t="s">
        <v>6</v>
      </c>
      <c r="E7" s="34" t="s">
        <v>9</v>
      </c>
      <c r="F7" s="35"/>
      <c r="G7" s="3" t="s">
        <v>10</v>
      </c>
      <c r="H7" s="9" t="s">
        <v>12</v>
      </c>
    </row>
    <row r="8" spans="1:8" ht="15.75" thickBot="1" x14ac:dyDescent="0.3">
      <c r="A8" s="4" t="s">
        <v>2</v>
      </c>
      <c r="B8" s="32"/>
      <c r="C8" s="7" t="s">
        <v>5</v>
      </c>
      <c r="D8" s="8" t="s">
        <v>7</v>
      </c>
      <c r="E8" s="36"/>
      <c r="F8" s="37"/>
      <c r="G8" s="4" t="s">
        <v>11</v>
      </c>
      <c r="H8" s="1" t="s">
        <v>13</v>
      </c>
    </row>
    <row r="9" spans="1:8" ht="15.75" thickBot="1" x14ac:dyDescent="0.3">
      <c r="A9" s="5"/>
      <c r="B9" s="32"/>
      <c r="C9" s="5"/>
      <c r="D9" s="7" t="s">
        <v>8</v>
      </c>
      <c r="E9" s="6" t="s">
        <v>14</v>
      </c>
      <c r="F9" s="6" t="s">
        <v>15</v>
      </c>
      <c r="G9" s="5"/>
      <c r="H9" s="1" t="s">
        <v>11</v>
      </c>
    </row>
    <row r="10" spans="1:8" ht="15.75" thickBot="1" x14ac:dyDescent="0.3">
      <c r="A10" s="5"/>
      <c r="B10" s="33"/>
      <c r="C10" s="5"/>
      <c r="D10" s="5"/>
      <c r="E10" s="7" t="s">
        <v>8</v>
      </c>
      <c r="F10" s="7" t="s">
        <v>8</v>
      </c>
      <c r="G10" s="5"/>
      <c r="H10" s="2"/>
    </row>
    <row r="11" spans="1:8" x14ac:dyDescent="0.25">
      <c r="A11" s="10"/>
      <c r="B11" s="11"/>
      <c r="C11" s="10"/>
      <c r="D11" s="10"/>
      <c r="E11" s="10"/>
      <c r="F11" s="10"/>
      <c r="G11" s="10"/>
      <c r="H11" s="12"/>
    </row>
    <row r="12" spans="1:8" x14ac:dyDescent="0.25">
      <c r="A12" s="7" t="s">
        <v>16</v>
      </c>
      <c r="B12" s="13" t="s">
        <v>17</v>
      </c>
      <c r="C12" s="22">
        <v>110000000</v>
      </c>
      <c r="D12" s="24" t="s">
        <v>18</v>
      </c>
      <c r="E12" s="24" t="s">
        <v>18</v>
      </c>
      <c r="F12" s="24" t="s">
        <v>18</v>
      </c>
      <c r="G12" s="22">
        <v>28000000000</v>
      </c>
      <c r="H12" s="23">
        <v>28000000000</v>
      </c>
    </row>
    <row r="13" spans="1:8" x14ac:dyDescent="0.25">
      <c r="A13" s="7" t="s">
        <v>19</v>
      </c>
      <c r="B13" s="13" t="s">
        <v>20</v>
      </c>
      <c r="C13" s="26">
        <v>7.1999999999999998E-3</v>
      </c>
      <c r="D13" s="24" t="s">
        <v>18</v>
      </c>
      <c r="E13" s="24" t="s">
        <v>18</v>
      </c>
      <c r="F13" s="24" t="s">
        <v>18</v>
      </c>
      <c r="G13" s="22">
        <v>2700000000</v>
      </c>
      <c r="H13" s="23">
        <v>2700000000</v>
      </c>
    </row>
    <row r="14" spans="1:8" x14ac:dyDescent="0.25">
      <c r="A14" s="7" t="s">
        <v>21</v>
      </c>
      <c r="B14" s="13" t="s">
        <v>22</v>
      </c>
      <c r="C14" s="22">
        <v>170</v>
      </c>
      <c r="D14" s="24">
        <v>20</v>
      </c>
      <c r="E14" s="24">
        <v>1.7</v>
      </c>
      <c r="F14" s="24" t="s">
        <v>18</v>
      </c>
      <c r="G14" s="24">
        <v>0.4</v>
      </c>
      <c r="H14" s="25">
        <v>57</v>
      </c>
    </row>
    <row r="15" spans="1:8" x14ac:dyDescent="0.25">
      <c r="A15" s="7" t="s">
        <v>23</v>
      </c>
      <c r="B15" s="13" t="s">
        <v>24</v>
      </c>
      <c r="C15" s="26">
        <v>5.9999999999999995E-4</v>
      </c>
      <c r="D15" s="24">
        <v>2</v>
      </c>
      <c r="E15" s="24">
        <v>0.04</v>
      </c>
      <c r="F15" s="24" t="s">
        <v>18</v>
      </c>
      <c r="G15" s="24">
        <v>0.4</v>
      </c>
      <c r="H15" s="25">
        <v>0.7</v>
      </c>
    </row>
    <row r="16" spans="1:8" x14ac:dyDescent="0.25">
      <c r="A16" s="7" t="s">
        <v>26</v>
      </c>
      <c r="B16" s="13" t="s">
        <v>27</v>
      </c>
      <c r="C16" s="22">
        <v>4400</v>
      </c>
      <c r="D16" s="24">
        <v>7</v>
      </c>
      <c r="E16" s="24">
        <v>2.1</v>
      </c>
      <c r="F16" s="24" t="s">
        <v>18</v>
      </c>
      <c r="G16" s="24">
        <v>11</v>
      </c>
      <c r="H16" s="25">
        <v>21</v>
      </c>
    </row>
    <row r="17" spans="1:8" x14ac:dyDescent="0.25">
      <c r="A17" s="7" t="s">
        <v>29</v>
      </c>
      <c r="B17" s="13" t="s">
        <v>30</v>
      </c>
      <c r="C17" s="22">
        <v>28000</v>
      </c>
      <c r="D17" s="24" t="s">
        <v>18</v>
      </c>
      <c r="E17" s="22">
        <v>1000</v>
      </c>
      <c r="F17" s="22">
        <v>1100</v>
      </c>
      <c r="G17" s="22">
        <v>10000000</v>
      </c>
      <c r="H17" s="23">
        <v>10000000</v>
      </c>
    </row>
    <row r="18" spans="1:8" x14ac:dyDescent="0.25">
      <c r="A18" s="7" t="s">
        <v>31</v>
      </c>
      <c r="B18" s="13" t="s">
        <v>32</v>
      </c>
      <c r="C18" s="22">
        <v>16000</v>
      </c>
      <c r="D18" s="24">
        <v>20</v>
      </c>
      <c r="E18" s="24">
        <v>61</v>
      </c>
      <c r="F18" s="24">
        <v>33</v>
      </c>
      <c r="G18" s="22">
        <v>3100000</v>
      </c>
      <c r="H18" s="23">
        <v>3100000</v>
      </c>
    </row>
    <row r="19" spans="1:8" x14ac:dyDescent="0.25">
      <c r="A19" s="7" t="s">
        <v>33</v>
      </c>
      <c r="B19" s="13" t="s">
        <v>34</v>
      </c>
      <c r="C19" s="22">
        <v>880000000</v>
      </c>
      <c r="D19" s="22">
        <v>370000</v>
      </c>
      <c r="E19" s="22">
        <v>370000</v>
      </c>
      <c r="F19" s="24" t="s">
        <v>18</v>
      </c>
      <c r="G19" s="22">
        <v>24000000</v>
      </c>
      <c r="H19" s="23">
        <v>24000000</v>
      </c>
    </row>
    <row r="20" spans="1:8" x14ac:dyDescent="0.25">
      <c r="A20" s="7" t="s">
        <v>35</v>
      </c>
      <c r="B20" s="13" t="s">
        <v>36</v>
      </c>
      <c r="C20" s="22">
        <v>1300</v>
      </c>
      <c r="D20" s="22">
        <v>460</v>
      </c>
      <c r="E20" s="22">
        <v>120</v>
      </c>
      <c r="F20" s="24" t="s">
        <v>18</v>
      </c>
      <c r="G20" s="22">
        <v>1000</v>
      </c>
      <c r="H20" s="23">
        <v>850</v>
      </c>
    </row>
    <row r="21" spans="1:8" x14ac:dyDescent="0.25">
      <c r="A21" s="7">
        <v>10</v>
      </c>
      <c r="B21" s="13" t="s">
        <v>37</v>
      </c>
      <c r="C21" s="24">
        <v>0.12</v>
      </c>
      <c r="D21" s="24" t="s">
        <v>18</v>
      </c>
      <c r="E21" s="24" t="s">
        <v>18</v>
      </c>
      <c r="F21" s="24" t="s">
        <v>18</v>
      </c>
      <c r="G21" s="22">
        <v>3000000</v>
      </c>
      <c r="H21" s="23">
        <v>3000000</v>
      </c>
    </row>
    <row r="22" spans="1:8" x14ac:dyDescent="0.25">
      <c r="A22" s="7">
        <v>11</v>
      </c>
      <c r="B22" s="13" t="s">
        <v>38</v>
      </c>
      <c r="C22" s="22">
        <v>11000000</v>
      </c>
      <c r="D22" s="22">
        <v>23000</v>
      </c>
      <c r="E22" s="22">
        <v>6200</v>
      </c>
      <c r="F22" s="24" t="s">
        <v>18</v>
      </c>
      <c r="G22" s="22">
        <v>60000</v>
      </c>
      <c r="H22" s="23">
        <v>57000</v>
      </c>
    </row>
    <row r="23" spans="1:8" x14ac:dyDescent="0.25">
      <c r="A23" s="7">
        <v>12</v>
      </c>
      <c r="B23" s="13" t="s">
        <v>39</v>
      </c>
      <c r="C23" s="22">
        <v>1300000</v>
      </c>
      <c r="D23" s="22">
        <v>28000</v>
      </c>
      <c r="E23" s="22">
        <v>150000</v>
      </c>
      <c r="F23" s="22">
        <v>320</v>
      </c>
      <c r="G23" s="22">
        <v>1000000</v>
      </c>
      <c r="H23" s="23">
        <v>1100000</v>
      </c>
    </row>
    <row r="24" spans="1:8" x14ac:dyDescent="0.25">
      <c r="A24" s="7">
        <v>13</v>
      </c>
      <c r="B24" s="13" t="s">
        <v>40</v>
      </c>
      <c r="C24" s="24">
        <v>1</v>
      </c>
      <c r="D24" s="22">
        <v>80000</v>
      </c>
      <c r="E24" s="22">
        <v>10000</v>
      </c>
      <c r="F24" s="24">
        <v>40</v>
      </c>
      <c r="G24" s="22">
        <v>83000</v>
      </c>
      <c r="H24" s="23">
        <v>85000</v>
      </c>
    </row>
    <row r="25" spans="1:8" x14ac:dyDescent="0.25">
      <c r="A25" s="7">
        <v>14</v>
      </c>
      <c r="B25" s="13" t="s">
        <v>41</v>
      </c>
      <c r="C25" s="22">
        <v>2900</v>
      </c>
      <c r="D25" s="22">
        <v>270000</v>
      </c>
      <c r="E25" s="22">
        <v>180000</v>
      </c>
      <c r="F25" s="24">
        <v>40</v>
      </c>
      <c r="G25" s="22">
        <v>1000000</v>
      </c>
      <c r="H25" s="23">
        <v>1000000</v>
      </c>
    </row>
    <row r="26" spans="1:8" x14ac:dyDescent="0.25">
      <c r="A26" s="7">
        <v>15</v>
      </c>
      <c r="B26" s="13" t="s">
        <v>42</v>
      </c>
      <c r="C26" s="24">
        <v>88</v>
      </c>
      <c r="D26" s="22">
        <v>1000</v>
      </c>
      <c r="E26" s="22">
        <v>1100</v>
      </c>
      <c r="F26" s="22">
        <v>2200</v>
      </c>
      <c r="G26" s="22">
        <v>8000</v>
      </c>
      <c r="H26" s="23">
        <v>10000</v>
      </c>
    </row>
    <row r="27" spans="1:8" x14ac:dyDescent="0.25">
      <c r="A27" s="7">
        <v>16</v>
      </c>
      <c r="B27" s="13" t="s">
        <v>43</v>
      </c>
      <c r="C27" s="22">
        <v>900000</v>
      </c>
      <c r="D27" s="22">
        <v>300</v>
      </c>
      <c r="E27" s="22">
        <v>21000</v>
      </c>
      <c r="F27" s="22">
        <v>360</v>
      </c>
      <c r="G27" s="22">
        <v>450000</v>
      </c>
      <c r="H27" s="23">
        <v>520000</v>
      </c>
    </row>
    <row r="28" spans="1:8" x14ac:dyDescent="0.25">
      <c r="A28" s="7">
        <v>17</v>
      </c>
      <c r="B28" s="13" t="s">
        <v>44</v>
      </c>
      <c r="C28" s="22">
        <v>19000000</v>
      </c>
      <c r="D28" s="22">
        <v>190</v>
      </c>
      <c r="E28" s="24">
        <v>80</v>
      </c>
      <c r="F28" s="24" t="s">
        <v>18</v>
      </c>
      <c r="G28" s="22">
        <v>9000</v>
      </c>
      <c r="H28" s="23">
        <v>5200</v>
      </c>
    </row>
    <row r="29" spans="1:8" x14ac:dyDescent="0.25">
      <c r="A29" s="7">
        <v>18</v>
      </c>
      <c r="B29" s="13" t="s">
        <v>45</v>
      </c>
      <c r="C29" s="22">
        <v>450</v>
      </c>
      <c r="D29" s="24" t="s">
        <v>18</v>
      </c>
      <c r="E29" s="24" t="s">
        <v>18</v>
      </c>
      <c r="F29" s="24" t="s">
        <v>18</v>
      </c>
      <c r="G29" s="22">
        <v>100000</v>
      </c>
      <c r="H29" s="23">
        <v>100000</v>
      </c>
    </row>
    <row r="30" spans="1:8" x14ac:dyDescent="0.25">
      <c r="A30" s="7">
        <v>19</v>
      </c>
      <c r="B30" s="13" t="s">
        <v>46</v>
      </c>
      <c r="C30" s="22">
        <v>390000</v>
      </c>
      <c r="D30" s="22">
        <v>17000</v>
      </c>
      <c r="E30" s="22">
        <v>880</v>
      </c>
      <c r="F30" s="24" t="s">
        <v>18</v>
      </c>
      <c r="G30" s="22">
        <v>3700</v>
      </c>
      <c r="H30" s="23">
        <v>3800</v>
      </c>
    </row>
    <row r="31" spans="1:8" x14ac:dyDescent="0.25">
      <c r="A31" s="7">
        <v>20</v>
      </c>
      <c r="B31" s="13" t="s">
        <v>47</v>
      </c>
      <c r="C31" s="22">
        <v>410000</v>
      </c>
      <c r="D31" s="22">
        <v>51000</v>
      </c>
      <c r="E31" s="22">
        <v>12000</v>
      </c>
      <c r="F31" s="22">
        <v>500</v>
      </c>
      <c r="G31" s="22">
        <v>64000</v>
      </c>
      <c r="H31" s="23">
        <v>61000</v>
      </c>
    </row>
    <row r="32" spans="1:8" x14ac:dyDescent="0.25">
      <c r="A32" s="7">
        <v>21</v>
      </c>
      <c r="B32" s="13" t="s">
        <v>48</v>
      </c>
      <c r="C32" s="24" t="s">
        <v>145</v>
      </c>
      <c r="D32" s="24">
        <v>22</v>
      </c>
      <c r="E32" s="24">
        <v>7.6</v>
      </c>
      <c r="F32" s="24" t="s">
        <v>18</v>
      </c>
      <c r="G32" s="24">
        <v>35</v>
      </c>
      <c r="H32" s="25">
        <v>34</v>
      </c>
    </row>
    <row r="33" spans="1:8" x14ac:dyDescent="0.25">
      <c r="A33" s="7">
        <v>22</v>
      </c>
      <c r="B33" s="13" t="s">
        <v>50</v>
      </c>
      <c r="C33" s="24">
        <v>1</v>
      </c>
      <c r="D33" s="22">
        <v>8600</v>
      </c>
      <c r="E33" s="22">
        <v>640</v>
      </c>
      <c r="F33" s="22">
        <v>100</v>
      </c>
      <c r="G33" s="22">
        <v>2700</v>
      </c>
      <c r="H33" s="23">
        <v>2400</v>
      </c>
    </row>
    <row r="34" spans="1:8" x14ac:dyDescent="0.25">
      <c r="A34" s="7">
        <v>23</v>
      </c>
      <c r="B34" s="13" t="s">
        <v>51</v>
      </c>
      <c r="C34" s="24">
        <v>1.9</v>
      </c>
      <c r="D34" s="22">
        <v>170</v>
      </c>
      <c r="E34" s="24">
        <v>63</v>
      </c>
      <c r="F34" s="24">
        <v>6</v>
      </c>
      <c r="G34" s="22">
        <v>280</v>
      </c>
      <c r="H34" s="23">
        <v>290</v>
      </c>
    </row>
    <row r="35" spans="1:8" x14ac:dyDescent="0.25">
      <c r="A35" s="7">
        <v>24</v>
      </c>
      <c r="B35" s="13" t="s">
        <v>52</v>
      </c>
      <c r="C35" s="24">
        <v>0.2</v>
      </c>
      <c r="D35" s="24">
        <v>96</v>
      </c>
      <c r="E35" s="22">
        <v>3600</v>
      </c>
      <c r="F35" s="24">
        <v>15</v>
      </c>
      <c r="G35" s="22">
        <v>13000</v>
      </c>
      <c r="H35" s="23">
        <v>13000</v>
      </c>
    </row>
    <row r="36" spans="1:8" x14ac:dyDescent="0.25">
      <c r="A36" s="7">
        <v>25</v>
      </c>
      <c r="B36" s="13" t="s">
        <v>53</v>
      </c>
      <c r="C36" s="24">
        <v>1.9</v>
      </c>
      <c r="D36" s="22">
        <v>1000</v>
      </c>
      <c r="E36" s="22">
        <v>2300</v>
      </c>
      <c r="F36" s="22">
        <v>300</v>
      </c>
      <c r="G36" s="22">
        <v>6900</v>
      </c>
      <c r="H36" s="23">
        <v>9500</v>
      </c>
    </row>
    <row r="37" spans="1:8" x14ac:dyDescent="0.25">
      <c r="A37" s="7">
        <v>26</v>
      </c>
      <c r="B37" s="13" t="s">
        <v>54</v>
      </c>
      <c r="C37" s="24">
        <v>3.4</v>
      </c>
      <c r="D37" s="22">
        <v>58000</v>
      </c>
      <c r="E37" s="22">
        <v>250000</v>
      </c>
      <c r="F37" s="22">
        <v>910000</v>
      </c>
      <c r="G37" s="22">
        <v>900000</v>
      </c>
      <c r="H37" s="23">
        <v>900000</v>
      </c>
    </row>
    <row r="38" spans="1:8" x14ac:dyDescent="0.25">
      <c r="A38" s="7">
        <v>27</v>
      </c>
      <c r="B38" s="13" t="s">
        <v>55</v>
      </c>
      <c r="C38" s="24">
        <v>0.39</v>
      </c>
      <c r="D38" s="24">
        <v>28</v>
      </c>
      <c r="E38" s="22">
        <v>700</v>
      </c>
      <c r="F38" s="22">
        <v>6300</v>
      </c>
      <c r="G38" s="22">
        <v>2300</v>
      </c>
      <c r="H38" s="23">
        <v>2300</v>
      </c>
    </row>
    <row r="39" spans="1:8" x14ac:dyDescent="0.25">
      <c r="A39" s="7">
        <v>28</v>
      </c>
      <c r="B39" s="13" t="s">
        <v>56</v>
      </c>
      <c r="C39" s="24">
        <v>6.6</v>
      </c>
      <c r="D39" s="24">
        <v>72</v>
      </c>
      <c r="E39" s="22">
        <v>15000</v>
      </c>
      <c r="F39" s="22">
        <v>67000</v>
      </c>
      <c r="G39" s="22">
        <v>50000</v>
      </c>
      <c r="H39" s="23">
        <v>50000</v>
      </c>
    </row>
    <row r="40" spans="1:8" x14ac:dyDescent="0.25">
      <c r="A40" s="7">
        <v>29</v>
      </c>
      <c r="B40" s="13" t="s">
        <v>57</v>
      </c>
      <c r="C40" s="24">
        <v>23</v>
      </c>
      <c r="D40" s="24">
        <v>58</v>
      </c>
      <c r="E40" s="24">
        <v>90</v>
      </c>
      <c r="F40" s="22">
        <v>130</v>
      </c>
      <c r="G40" s="22">
        <v>450</v>
      </c>
      <c r="H40" s="23">
        <v>520</v>
      </c>
    </row>
    <row r="41" spans="1:8" x14ac:dyDescent="0.25">
      <c r="A41" s="7">
        <v>30</v>
      </c>
      <c r="B41" s="13" t="s">
        <v>58</v>
      </c>
      <c r="C41" s="24">
        <v>11</v>
      </c>
      <c r="D41" s="24">
        <v>82</v>
      </c>
      <c r="E41" s="24">
        <v>54</v>
      </c>
      <c r="F41" s="24">
        <v>28</v>
      </c>
      <c r="G41" s="22">
        <v>1100</v>
      </c>
      <c r="H41" s="23">
        <v>1300</v>
      </c>
    </row>
    <row r="42" spans="1:8" x14ac:dyDescent="0.25">
      <c r="A42" s="7">
        <v>31</v>
      </c>
      <c r="B42" s="13" t="s">
        <v>59</v>
      </c>
      <c r="C42" s="24">
        <v>0.03</v>
      </c>
      <c r="D42" s="24">
        <v>17</v>
      </c>
      <c r="E42" s="24">
        <v>5.0999999999999996</v>
      </c>
      <c r="F42" s="24">
        <v>80</v>
      </c>
      <c r="G42" s="24">
        <v>21</v>
      </c>
      <c r="H42" s="25">
        <v>38</v>
      </c>
    </row>
    <row r="43" spans="1:8" x14ac:dyDescent="0.25">
      <c r="A43" s="7">
        <v>32</v>
      </c>
      <c r="B43" s="13" t="s">
        <v>61</v>
      </c>
      <c r="C43" s="24">
        <v>0.06</v>
      </c>
      <c r="D43" s="24">
        <v>1.3</v>
      </c>
      <c r="E43" s="24">
        <v>10</v>
      </c>
      <c r="F43" s="24">
        <v>37</v>
      </c>
      <c r="G43" s="24">
        <v>72</v>
      </c>
      <c r="H43" s="23">
        <v>120</v>
      </c>
    </row>
    <row r="44" spans="1:8" x14ac:dyDescent="0.25">
      <c r="A44" s="7" t="s">
        <v>63</v>
      </c>
      <c r="B44" s="13" t="s">
        <v>64</v>
      </c>
      <c r="C44" s="24">
        <v>2.6</v>
      </c>
      <c r="D44" s="24">
        <v>2</v>
      </c>
      <c r="E44" s="24">
        <v>1.8</v>
      </c>
      <c r="F44" s="24">
        <v>11</v>
      </c>
      <c r="G44" s="24" t="s">
        <v>18</v>
      </c>
      <c r="H44" s="25">
        <v>6.6</v>
      </c>
    </row>
    <row r="45" spans="1:8" x14ac:dyDescent="0.25">
      <c r="A45" s="7">
        <v>34</v>
      </c>
      <c r="B45" s="13" t="s">
        <v>65</v>
      </c>
      <c r="C45" s="24">
        <v>0.09</v>
      </c>
      <c r="D45" s="24">
        <v>0.05</v>
      </c>
      <c r="E45" s="24">
        <v>8</v>
      </c>
      <c r="F45" s="24">
        <v>3</v>
      </c>
      <c r="G45" s="24" t="s">
        <v>18</v>
      </c>
      <c r="H45" s="25">
        <v>63</v>
      </c>
    </row>
    <row r="46" spans="1:8" x14ac:dyDescent="0.25">
      <c r="A46" s="7">
        <v>35</v>
      </c>
      <c r="B46" s="13" t="s">
        <v>66</v>
      </c>
      <c r="C46" s="22">
        <v>67000</v>
      </c>
      <c r="D46" s="24">
        <v>4</v>
      </c>
      <c r="E46" s="24">
        <v>0.4</v>
      </c>
      <c r="F46" s="24">
        <v>1</v>
      </c>
      <c r="G46" s="24" t="s">
        <v>18</v>
      </c>
      <c r="H46" s="25">
        <v>12</v>
      </c>
    </row>
    <row r="47" spans="1:8" x14ac:dyDescent="0.25">
      <c r="A47" s="7">
        <v>36</v>
      </c>
      <c r="B47" s="13" t="s">
        <v>67</v>
      </c>
      <c r="C47" s="24">
        <v>0.21</v>
      </c>
      <c r="D47" s="24" t="s">
        <v>18</v>
      </c>
      <c r="E47" s="24" t="s">
        <v>18</v>
      </c>
      <c r="F47" s="24" t="s">
        <v>18</v>
      </c>
      <c r="G47" s="24" t="s">
        <v>18</v>
      </c>
      <c r="H47" s="25">
        <v>48</v>
      </c>
    </row>
    <row r="48" spans="1:8" x14ac:dyDescent="0.25">
      <c r="A48" s="7">
        <v>37</v>
      </c>
      <c r="B48" s="13" t="s">
        <v>68</v>
      </c>
      <c r="C48" s="22">
        <v>120</v>
      </c>
      <c r="D48" s="24">
        <v>70</v>
      </c>
      <c r="E48" s="24">
        <v>4</v>
      </c>
      <c r="F48" s="24" t="s">
        <v>18</v>
      </c>
      <c r="G48" s="24">
        <v>11</v>
      </c>
      <c r="H48" s="25">
        <v>7</v>
      </c>
    </row>
    <row r="49" spans="1:8" x14ac:dyDescent="0.25">
      <c r="A49" s="7">
        <v>38</v>
      </c>
      <c r="B49" s="13" t="s">
        <v>69</v>
      </c>
      <c r="C49" s="22">
        <v>8100</v>
      </c>
      <c r="D49" s="22">
        <v>450</v>
      </c>
      <c r="E49" s="24">
        <v>10</v>
      </c>
      <c r="F49" s="24" t="s">
        <v>18</v>
      </c>
      <c r="G49" s="24">
        <v>22</v>
      </c>
      <c r="H49" s="25">
        <v>24</v>
      </c>
    </row>
    <row r="50" spans="1:8" x14ac:dyDescent="0.25">
      <c r="A50" s="7">
        <v>39</v>
      </c>
      <c r="B50" s="13" t="s">
        <v>70</v>
      </c>
      <c r="C50" s="24">
        <v>1.2999999999999999E-3</v>
      </c>
      <c r="D50" s="24">
        <v>0.35</v>
      </c>
      <c r="E50" s="24">
        <v>2.2000000000000002</v>
      </c>
      <c r="F50" s="24" t="s">
        <v>18</v>
      </c>
      <c r="G50" s="24">
        <v>4.9000000000000004</v>
      </c>
      <c r="H50" s="25">
        <v>4.5999999999999996</v>
      </c>
    </row>
    <row r="51" spans="1:8" x14ac:dyDescent="0.25">
      <c r="A51" s="7">
        <v>40</v>
      </c>
      <c r="B51" s="13" t="s">
        <v>71</v>
      </c>
      <c r="C51" s="24">
        <v>2.5999999999999999E-2</v>
      </c>
      <c r="D51" s="22">
        <v>140</v>
      </c>
      <c r="E51" s="24">
        <v>10</v>
      </c>
      <c r="F51" s="24">
        <v>8</v>
      </c>
      <c r="G51" s="24">
        <v>11.2</v>
      </c>
      <c r="H51" s="25">
        <v>11.4</v>
      </c>
    </row>
    <row r="52" spans="1:8" x14ac:dyDescent="0.25">
      <c r="A52" s="7">
        <v>41</v>
      </c>
      <c r="B52" s="13" t="s">
        <v>72</v>
      </c>
      <c r="C52" s="24">
        <v>1.4999999999999999E-2</v>
      </c>
      <c r="D52" s="24">
        <v>20</v>
      </c>
      <c r="E52" s="24">
        <v>0.1</v>
      </c>
      <c r="F52" s="24">
        <v>0.2</v>
      </c>
      <c r="G52" s="24">
        <v>0.7</v>
      </c>
      <c r="H52" s="25">
        <v>0.7</v>
      </c>
    </row>
    <row r="53" spans="1:8" x14ac:dyDescent="0.25">
      <c r="A53" s="7">
        <v>42</v>
      </c>
      <c r="B53" s="13" t="s">
        <v>73</v>
      </c>
      <c r="C53" s="24">
        <v>10</v>
      </c>
      <c r="D53" s="24">
        <v>1.2</v>
      </c>
      <c r="E53" s="24">
        <v>1.5</v>
      </c>
      <c r="F53" s="24">
        <v>7.3</v>
      </c>
      <c r="G53" s="24">
        <v>2.2999999999999998</v>
      </c>
      <c r="H53" s="25">
        <v>2.6</v>
      </c>
    </row>
    <row r="54" spans="1:8" ht="25.5" customHeight="1" x14ac:dyDescent="0.25">
      <c r="A54" s="7">
        <v>43</v>
      </c>
      <c r="B54" s="27" t="s">
        <v>74</v>
      </c>
      <c r="C54" s="29" t="s">
        <v>75</v>
      </c>
      <c r="D54" s="30"/>
      <c r="E54" s="24"/>
      <c r="F54" s="24"/>
      <c r="G54" s="24"/>
      <c r="H54" s="25"/>
    </row>
    <row r="55" spans="1:8" x14ac:dyDescent="0.25">
      <c r="A55" s="7">
        <v>44</v>
      </c>
      <c r="B55" s="13" t="s">
        <v>76</v>
      </c>
      <c r="C55" s="24" t="s">
        <v>18</v>
      </c>
      <c r="D55" s="24" t="s">
        <v>18</v>
      </c>
      <c r="E55" s="24">
        <v>0.9</v>
      </c>
      <c r="F55" s="24">
        <v>11</v>
      </c>
      <c r="G55" s="24">
        <v>1.9</v>
      </c>
      <c r="H55" s="25">
        <v>1.9</v>
      </c>
    </row>
    <row r="56" spans="1:8" x14ac:dyDescent="0.25">
      <c r="A56" s="7">
        <v>45</v>
      </c>
      <c r="B56" s="13" t="s">
        <v>77</v>
      </c>
      <c r="C56" s="24" t="s">
        <v>18</v>
      </c>
      <c r="D56" s="24" t="s">
        <v>18</v>
      </c>
      <c r="E56" s="24">
        <v>0.23</v>
      </c>
      <c r="F56" s="24">
        <v>4.0999999999999996</v>
      </c>
      <c r="G56" s="24">
        <v>0.4</v>
      </c>
      <c r="H56" s="25">
        <v>0.34</v>
      </c>
    </row>
    <row r="57" spans="1:8" x14ac:dyDescent="0.25">
      <c r="A57" s="7">
        <v>46</v>
      </c>
      <c r="B57" s="13" t="s">
        <v>79</v>
      </c>
      <c r="C57" s="24" t="s">
        <v>18</v>
      </c>
      <c r="D57" s="24">
        <v>3.0000000000000001E-3</v>
      </c>
      <c r="E57" s="24">
        <v>0.84</v>
      </c>
      <c r="F57" s="24">
        <v>3.8</v>
      </c>
      <c r="G57" s="24">
        <v>1.4</v>
      </c>
      <c r="H57" s="25">
        <v>1.4</v>
      </c>
    </row>
    <row r="58" spans="1:8" x14ac:dyDescent="0.25">
      <c r="A58" s="7">
        <v>47</v>
      </c>
      <c r="B58" s="13" t="s">
        <v>80</v>
      </c>
      <c r="C58" s="24">
        <v>0.28000000000000003</v>
      </c>
      <c r="D58" s="24">
        <v>0.08</v>
      </c>
      <c r="E58" s="24">
        <v>8.5000000000000006E-2</v>
      </c>
      <c r="F58" s="24">
        <v>3.5000000000000003E-2</v>
      </c>
      <c r="G58" s="24">
        <v>0.2</v>
      </c>
      <c r="H58" s="25">
        <v>0.49</v>
      </c>
    </row>
    <row r="59" spans="1:8" x14ac:dyDescent="0.25">
      <c r="A59" s="7">
        <v>48</v>
      </c>
      <c r="B59" s="13" t="s">
        <v>81</v>
      </c>
      <c r="C59" s="24">
        <v>0.11</v>
      </c>
      <c r="D59" s="24">
        <v>0.18</v>
      </c>
      <c r="E59" s="24">
        <v>0.06</v>
      </c>
      <c r="F59" s="24">
        <v>0.02</v>
      </c>
      <c r="G59" s="24">
        <v>2</v>
      </c>
      <c r="H59" s="25">
        <v>1.6</v>
      </c>
    </row>
    <row r="60" spans="1:8" x14ac:dyDescent="0.25">
      <c r="A60" s="7">
        <v>49</v>
      </c>
      <c r="B60" s="13" t="s">
        <v>82</v>
      </c>
      <c r="C60" s="24" t="s">
        <v>18</v>
      </c>
      <c r="D60" s="24">
        <v>0.2</v>
      </c>
      <c r="E60" s="24">
        <v>4.0000000000000001E-3</v>
      </c>
      <c r="F60" s="24">
        <v>0.01</v>
      </c>
      <c r="G60" s="7">
        <v>1.3</v>
      </c>
      <c r="H60" s="25">
        <v>0.19</v>
      </c>
    </row>
    <row r="61" spans="1:8" x14ac:dyDescent="0.25">
      <c r="A61" s="7">
        <v>50</v>
      </c>
      <c r="B61" s="13" t="s">
        <v>83</v>
      </c>
      <c r="C61" s="24">
        <v>0.81</v>
      </c>
      <c r="D61" s="24">
        <v>1.5</v>
      </c>
      <c r="E61" s="24">
        <v>0.65</v>
      </c>
      <c r="F61" s="24">
        <v>2</v>
      </c>
      <c r="G61" s="28">
        <v>3</v>
      </c>
      <c r="H61" s="25">
        <v>3.9</v>
      </c>
    </row>
    <row r="62" spans="1:8" x14ac:dyDescent="0.25">
      <c r="A62" s="7">
        <v>51</v>
      </c>
      <c r="B62" s="13" t="s">
        <v>84</v>
      </c>
      <c r="C62" s="24">
        <v>0.33</v>
      </c>
      <c r="D62" s="24">
        <v>0.2</v>
      </c>
      <c r="E62" s="24">
        <v>0.1</v>
      </c>
      <c r="F62" s="24">
        <v>0.34</v>
      </c>
      <c r="G62" s="24">
        <v>0.3</v>
      </c>
      <c r="H62" s="25">
        <v>0.31</v>
      </c>
    </row>
    <row r="63" spans="1:8" x14ac:dyDescent="0.25">
      <c r="A63" s="7">
        <v>52</v>
      </c>
      <c r="B63" s="13" t="s">
        <v>85</v>
      </c>
      <c r="C63" s="24" t="s">
        <v>18</v>
      </c>
      <c r="D63" s="24" t="s">
        <v>18</v>
      </c>
      <c r="E63" s="24">
        <v>1.7</v>
      </c>
      <c r="F63" s="24" t="s">
        <v>18</v>
      </c>
      <c r="G63" s="24" t="s">
        <v>18</v>
      </c>
      <c r="H63" s="25">
        <v>4.9000000000000004</v>
      </c>
    </row>
    <row r="64" spans="1:8" x14ac:dyDescent="0.25">
      <c r="A64" s="7">
        <v>53</v>
      </c>
      <c r="B64" s="13" t="s">
        <v>86</v>
      </c>
      <c r="C64" s="24">
        <v>64</v>
      </c>
      <c r="D64" s="24">
        <v>0.5</v>
      </c>
      <c r="E64" s="24">
        <v>3.5999999999999997E-2</v>
      </c>
      <c r="F64" s="24">
        <v>0.6</v>
      </c>
      <c r="G64" s="24" t="s">
        <v>18</v>
      </c>
      <c r="H64" s="25">
        <v>0.9</v>
      </c>
    </row>
    <row r="65" spans="1:8" x14ac:dyDescent="0.25">
      <c r="A65" s="7">
        <v>54</v>
      </c>
      <c r="B65" s="13" t="s">
        <v>87</v>
      </c>
      <c r="C65" s="24">
        <v>4.7E-2</v>
      </c>
      <c r="D65" s="24" t="s">
        <v>18</v>
      </c>
      <c r="E65" s="24" t="s">
        <v>18</v>
      </c>
      <c r="F65" s="24" t="s">
        <v>18</v>
      </c>
      <c r="G65" s="24" t="s">
        <v>18</v>
      </c>
      <c r="H65" s="25">
        <v>4.8</v>
      </c>
    </row>
    <row r="66" spans="1:8" x14ac:dyDescent="0.25">
      <c r="A66" s="7">
        <v>55</v>
      </c>
      <c r="B66" s="13" t="s">
        <v>88</v>
      </c>
      <c r="C66" s="24">
        <v>0.3</v>
      </c>
      <c r="D66" s="24">
        <v>1.6</v>
      </c>
      <c r="E66" s="24">
        <v>0.08</v>
      </c>
      <c r="F66" s="24" t="s">
        <v>18</v>
      </c>
      <c r="G66" s="24" t="s">
        <v>18</v>
      </c>
      <c r="H66" s="25">
        <v>0.37</v>
      </c>
    </row>
    <row r="67" spans="1:8" x14ac:dyDescent="0.25">
      <c r="A67" s="7">
        <v>56</v>
      </c>
      <c r="B67" s="13" t="s">
        <v>90</v>
      </c>
      <c r="C67" s="24">
        <v>21</v>
      </c>
      <c r="D67" s="22">
        <v>380</v>
      </c>
      <c r="E67" s="24">
        <v>3.5</v>
      </c>
      <c r="F67" s="24" t="s">
        <v>18</v>
      </c>
      <c r="G67" s="24">
        <v>3.8</v>
      </c>
      <c r="H67" s="25">
        <v>4.5</v>
      </c>
    </row>
    <row r="68" spans="1:8" x14ac:dyDescent="0.25">
      <c r="A68" s="7">
        <v>57</v>
      </c>
      <c r="B68" s="13" t="s">
        <v>91</v>
      </c>
      <c r="C68" s="24">
        <v>3.3999999999999998E-3</v>
      </c>
      <c r="D68" s="24">
        <v>50</v>
      </c>
      <c r="E68" s="24">
        <v>0.32</v>
      </c>
      <c r="F68" s="24" t="s">
        <v>18</v>
      </c>
      <c r="G68" s="24">
        <v>0.5</v>
      </c>
      <c r="H68" s="25">
        <v>0.44</v>
      </c>
    </row>
    <row r="69" spans="1:8" x14ac:dyDescent="0.25">
      <c r="A69" s="7">
        <v>58</v>
      </c>
      <c r="B69" s="13" t="s">
        <v>92</v>
      </c>
      <c r="C69" s="24">
        <v>1.1999999999999999E-3</v>
      </c>
      <c r="D69" s="24">
        <v>83</v>
      </c>
      <c r="E69" s="24">
        <v>0.86</v>
      </c>
      <c r="F69" s="24" t="s">
        <v>18</v>
      </c>
      <c r="G69" s="24">
        <v>1</v>
      </c>
      <c r="H69" s="25">
        <v>1.1000000000000001</v>
      </c>
    </row>
    <row r="70" spans="1:8" x14ac:dyDescent="0.25">
      <c r="A70" s="7">
        <v>59</v>
      </c>
      <c r="B70" s="13" t="s">
        <v>93</v>
      </c>
      <c r="C70" s="24">
        <v>6.4000000000000005E-4</v>
      </c>
      <c r="D70" s="24">
        <v>13</v>
      </c>
      <c r="E70" s="24">
        <v>0.12</v>
      </c>
      <c r="F70" s="24" t="s">
        <v>18</v>
      </c>
      <c r="G70" s="24">
        <v>0.14000000000000001</v>
      </c>
      <c r="H70" s="25">
        <v>0.17</v>
      </c>
    </row>
    <row r="71" spans="1:8" x14ac:dyDescent="0.25">
      <c r="A71" s="7">
        <v>60</v>
      </c>
      <c r="B71" s="13" t="s">
        <v>95</v>
      </c>
      <c r="C71" s="24">
        <v>2.8E-3</v>
      </c>
      <c r="D71" s="24">
        <v>44</v>
      </c>
      <c r="E71" s="24">
        <v>0.59</v>
      </c>
      <c r="F71" s="24" t="s">
        <v>18</v>
      </c>
      <c r="G71" s="24">
        <v>0.9</v>
      </c>
      <c r="H71" s="25">
        <v>0.83</v>
      </c>
    </row>
    <row r="72" spans="1:8" ht="25.5" customHeight="1" x14ac:dyDescent="0.25">
      <c r="A72" s="7">
        <v>61</v>
      </c>
      <c r="B72" s="13" t="s">
        <v>96</v>
      </c>
      <c r="C72" s="29" t="s">
        <v>75</v>
      </c>
      <c r="D72" s="30"/>
      <c r="E72" s="24"/>
      <c r="F72" s="24"/>
      <c r="G72" s="24"/>
      <c r="H72" s="25"/>
    </row>
    <row r="73" spans="1:8" x14ac:dyDescent="0.25">
      <c r="A73" s="7">
        <v>62</v>
      </c>
      <c r="B73" s="13" t="s">
        <v>97</v>
      </c>
      <c r="C73" s="24">
        <v>4.4999999999999999E-4</v>
      </c>
      <c r="D73" s="24">
        <v>7.7</v>
      </c>
      <c r="E73" s="24">
        <v>0.19</v>
      </c>
      <c r="F73" s="24" t="s">
        <v>18</v>
      </c>
      <c r="G73" s="24">
        <v>0.3</v>
      </c>
      <c r="H73" s="25">
        <v>0.26</v>
      </c>
    </row>
    <row r="74" spans="1:8" x14ac:dyDescent="0.25">
      <c r="A74" s="7">
        <v>63</v>
      </c>
      <c r="B74" s="13" t="s">
        <v>98</v>
      </c>
      <c r="C74" s="24">
        <v>1.2999999999999999E-4</v>
      </c>
      <c r="D74" s="24">
        <v>2.2000000000000002</v>
      </c>
      <c r="E74" s="24">
        <v>7.0000000000000007E-2</v>
      </c>
      <c r="F74" s="24" t="s">
        <v>18</v>
      </c>
      <c r="G74" s="24">
        <v>0.09</v>
      </c>
      <c r="H74" s="25">
        <v>9.7000000000000003E-2</v>
      </c>
    </row>
    <row r="75" spans="1:8" x14ac:dyDescent="0.25">
      <c r="A75" s="7">
        <v>64</v>
      </c>
      <c r="B75" s="13" t="s">
        <v>100</v>
      </c>
      <c r="C75" s="24">
        <v>6.9999999999999999E-4</v>
      </c>
      <c r="D75" s="24">
        <v>6.3</v>
      </c>
      <c r="E75" s="24">
        <v>0.28000000000000003</v>
      </c>
      <c r="F75" s="24" t="s">
        <v>18</v>
      </c>
      <c r="G75" s="24">
        <v>0.37</v>
      </c>
      <c r="H75" s="25">
        <v>0.33</v>
      </c>
    </row>
    <row r="76" spans="1:8" x14ac:dyDescent="0.25">
      <c r="A76" s="7">
        <v>65</v>
      </c>
      <c r="B76" s="13" t="s">
        <v>101</v>
      </c>
      <c r="C76" s="24">
        <v>1.4E-3</v>
      </c>
      <c r="D76" s="24">
        <v>1</v>
      </c>
      <c r="E76" s="24">
        <v>4.8000000000000001E-2</v>
      </c>
      <c r="F76" s="24" t="s">
        <v>18</v>
      </c>
      <c r="G76" s="24">
        <v>0.02</v>
      </c>
      <c r="H76" s="25">
        <v>0.06</v>
      </c>
    </row>
    <row r="77" spans="1:8" x14ac:dyDescent="0.25">
      <c r="A77" s="7">
        <v>66</v>
      </c>
      <c r="B77" s="13" t="s">
        <v>102</v>
      </c>
      <c r="C77" s="24">
        <v>9.1E-4</v>
      </c>
      <c r="D77" s="24">
        <v>8.5</v>
      </c>
      <c r="E77" s="24">
        <v>0.31</v>
      </c>
      <c r="F77" s="24" t="s">
        <v>18</v>
      </c>
      <c r="G77" s="24">
        <v>0.35</v>
      </c>
      <c r="H77" s="25">
        <v>0.4</v>
      </c>
    </row>
    <row r="78" spans="1:8" x14ac:dyDescent="0.25">
      <c r="A78" s="7">
        <v>67</v>
      </c>
      <c r="B78" s="13" t="s">
        <v>104</v>
      </c>
      <c r="C78" s="24">
        <v>2.2000000000000001E-4</v>
      </c>
      <c r="D78" s="24">
        <v>1.6</v>
      </c>
      <c r="E78" s="24">
        <v>7.0000000000000007E-2</v>
      </c>
      <c r="F78" s="24" t="s">
        <v>18</v>
      </c>
      <c r="G78" s="24">
        <v>0.05</v>
      </c>
      <c r="H78" s="25">
        <v>8.8999999999999996E-2</v>
      </c>
    </row>
    <row r="79" spans="1:8" x14ac:dyDescent="0.25">
      <c r="A79" s="7">
        <v>68</v>
      </c>
      <c r="B79" s="13" t="s">
        <v>105</v>
      </c>
      <c r="C79" s="24">
        <v>8.6999999999999994E-3</v>
      </c>
      <c r="D79" s="24">
        <v>3.6</v>
      </c>
      <c r="E79" s="24">
        <v>0.2</v>
      </c>
      <c r="F79" s="24" t="s">
        <v>18</v>
      </c>
      <c r="G79" s="24">
        <v>0.24</v>
      </c>
      <c r="H79" s="25">
        <v>0.25</v>
      </c>
    </row>
    <row r="80" spans="1:8" x14ac:dyDescent="0.25">
      <c r="A80" s="7">
        <v>69</v>
      </c>
      <c r="B80" s="13" t="s">
        <v>107</v>
      </c>
      <c r="C80" s="24">
        <v>1.7000000000000001E-4</v>
      </c>
      <c r="D80" s="24">
        <v>0.52</v>
      </c>
      <c r="E80" s="24">
        <v>0.03</v>
      </c>
      <c r="F80" s="24" t="s">
        <v>18</v>
      </c>
      <c r="G80" s="24">
        <v>0.03</v>
      </c>
      <c r="H80" s="25">
        <v>3.7999999999999999E-2</v>
      </c>
    </row>
    <row r="81" spans="1:8" x14ac:dyDescent="0.25">
      <c r="A81" s="7">
        <v>70</v>
      </c>
      <c r="B81" s="13" t="s">
        <v>108</v>
      </c>
      <c r="C81" s="24">
        <v>8.1999999999999998E-4</v>
      </c>
      <c r="D81" s="24">
        <v>3.4</v>
      </c>
      <c r="E81" s="24">
        <v>0.19</v>
      </c>
      <c r="F81" s="24" t="s">
        <v>18</v>
      </c>
      <c r="G81" s="24">
        <v>0.34</v>
      </c>
      <c r="H81" s="25">
        <v>0.25</v>
      </c>
    </row>
    <row r="82" spans="1:8" x14ac:dyDescent="0.25">
      <c r="A82" s="7">
        <v>71</v>
      </c>
      <c r="B82" s="13" t="s">
        <v>109</v>
      </c>
      <c r="C82" s="24">
        <v>1.4999999999999999E-4</v>
      </c>
      <c r="D82" s="24">
        <v>0.8</v>
      </c>
      <c r="E82" s="24">
        <v>3.3000000000000002E-2</v>
      </c>
      <c r="F82" s="24" t="s">
        <v>18</v>
      </c>
      <c r="G82" s="24">
        <v>0.15</v>
      </c>
      <c r="H82" s="25">
        <v>3.6999999999999998E-2</v>
      </c>
    </row>
    <row r="83" spans="1:8" x14ac:dyDescent="0.25">
      <c r="A83" s="7">
        <v>72</v>
      </c>
      <c r="B83" s="13" t="s">
        <v>110</v>
      </c>
      <c r="C83" s="24" t="s">
        <v>147</v>
      </c>
      <c r="D83" s="24">
        <v>4</v>
      </c>
      <c r="E83" s="24">
        <v>0.24</v>
      </c>
      <c r="F83" s="24" t="s">
        <v>18</v>
      </c>
      <c r="G83" s="24">
        <v>0.21</v>
      </c>
      <c r="H83" s="25">
        <v>0.15</v>
      </c>
    </row>
    <row r="84" spans="1:8" x14ac:dyDescent="0.25">
      <c r="A84" s="7" t="s">
        <v>112</v>
      </c>
      <c r="B84" s="13" t="s">
        <v>113</v>
      </c>
      <c r="C84" s="24" t="s">
        <v>146</v>
      </c>
      <c r="D84" s="24">
        <v>2.4</v>
      </c>
      <c r="E84" s="24">
        <v>2.1999999999999999E-2</v>
      </c>
      <c r="F84" s="24">
        <v>0.06</v>
      </c>
      <c r="G84" s="24" t="s">
        <v>18</v>
      </c>
      <c r="H84" s="25">
        <v>3.7999999999999999E-2</v>
      </c>
    </row>
    <row r="85" spans="1:8" x14ac:dyDescent="0.25">
      <c r="A85" s="7">
        <v>74</v>
      </c>
      <c r="B85" s="13" t="s">
        <v>114</v>
      </c>
      <c r="C85" s="24" t="s">
        <v>148</v>
      </c>
      <c r="D85" s="24">
        <v>1</v>
      </c>
      <c r="E85" s="24">
        <v>0.15</v>
      </c>
      <c r="F85" s="24">
        <v>8.1</v>
      </c>
      <c r="G85" s="24">
        <v>0.36</v>
      </c>
      <c r="H85" s="25">
        <v>0.13</v>
      </c>
    </row>
    <row r="86" spans="1:8" x14ac:dyDescent="0.25">
      <c r="A86" s="7">
        <v>75</v>
      </c>
      <c r="B86" s="13" t="s">
        <v>115</v>
      </c>
      <c r="C86" s="24" t="s">
        <v>18</v>
      </c>
      <c r="D86" s="24">
        <v>4.0000000000000002E-4</v>
      </c>
      <c r="E86" s="24">
        <v>5.8000000000000003E-2</v>
      </c>
      <c r="F86" s="24">
        <v>0.85</v>
      </c>
      <c r="G86" s="24" t="s">
        <v>18</v>
      </c>
      <c r="H86" s="25">
        <v>0.05</v>
      </c>
    </row>
    <row r="87" spans="1:8" x14ac:dyDescent="0.25">
      <c r="A87" s="7">
        <v>76</v>
      </c>
      <c r="B87" s="13" t="s">
        <v>117</v>
      </c>
      <c r="C87" s="24" t="s">
        <v>18</v>
      </c>
      <c r="D87" s="24">
        <v>2.0000000000000001E-4</v>
      </c>
      <c r="E87" s="24">
        <v>0.77</v>
      </c>
      <c r="F87" s="24">
        <v>7.6</v>
      </c>
      <c r="G87" s="24">
        <v>0.8</v>
      </c>
      <c r="H87" s="25">
        <v>0.67</v>
      </c>
    </row>
    <row r="88" spans="1:8" x14ac:dyDescent="0.25">
      <c r="A88" s="7">
        <v>77</v>
      </c>
      <c r="B88" s="13" t="s">
        <v>118</v>
      </c>
      <c r="C88" s="24" t="s">
        <v>18</v>
      </c>
      <c r="D88" s="24">
        <v>2.0000000000000001E-4</v>
      </c>
      <c r="E88" s="24">
        <v>0.64</v>
      </c>
      <c r="F88" s="24">
        <v>3</v>
      </c>
      <c r="G88" s="24">
        <v>0.6</v>
      </c>
      <c r="H88" s="25">
        <v>0.66</v>
      </c>
    </row>
    <row r="89" spans="1:8" x14ac:dyDescent="0.25">
      <c r="A89" s="7">
        <v>78</v>
      </c>
      <c r="B89" s="13" t="s">
        <v>119</v>
      </c>
      <c r="C89" s="24" t="s">
        <v>18</v>
      </c>
      <c r="D89" s="24" t="s">
        <v>18</v>
      </c>
      <c r="E89" s="24">
        <v>1.1000000000000001</v>
      </c>
      <c r="F89" s="24">
        <v>19</v>
      </c>
      <c r="G89" s="24">
        <v>1.8</v>
      </c>
      <c r="H89" s="25">
        <v>1.34</v>
      </c>
    </row>
    <row r="90" spans="1:8" x14ac:dyDescent="0.25">
      <c r="A90" s="7">
        <v>79</v>
      </c>
      <c r="B90" s="13" t="s">
        <v>120</v>
      </c>
      <c r="C90" s="24">
        <v>1.0999999999999999E-2</v>
      </c>
      <c r="D90" s="24">
        <v>2E-3</v>
      </c>
      <c r="E90" s="24">
        <v>0.2</v>
      </c>
      <c r="F90" s="24">
        <v>1.8</v>
      </c>
      <c r="G90" s="24">
        <v>0.3</v>
      </c>
      <c r="H90" s="25">
        <v>0.19</v>
      </c>
    </row>
    <row r="91" spans="1:8" x14ac:dyDescent="0.25">
      <c r="A91" s="7" t="s">
        <v>121</v>
      </c>
      <c r="B91" s="13" t="s">
        <v>122</v>
      </c>
      <c r="C91" s="24">
        <v>0.15</v>
      </c>
      <c r="D91" s="24">
        <v>0.02</v>
      </c>
      <c r="E91" s="24">
        <v>0.13</v>
      </c>
      <c r="F91" s="24" t="s">
        <v>18</v>
      </c>
      <c r="G91" s="24" t="s">
        <v>18</v>
      </c>
      <c r="H91" s="25">
        <v>0.34</v>
      </c>
    </row>
    <row r="92" spans="1:8" x14ac:dyDescent="0.25">
      <c r="A92" s="7">
        <v>81</v>
      </c>
      <c r="B92" s="13" t="s">
        <v>123</v>
      </c>
      <c r="C92" s="24" t="s">
        <v>18</v>
      </c>
      <c r="D92" s="24">
        <v>0.47</v>
      </c>
      <c r="E92" s="24">
        <v>3.0000000000000001E-3</v>
      </c>
      <c r="F92" s="24" t="s">
        <v>18</v>
      </c>
      <c r="G92" s="24">
        <v>0.2</v>
      </c>
      <c r="H92" s="25">
        <v>0.19</v>
      </c>
    </row>
    <row r="93" spans="1:8" x14ac:dyDescent="0.25">
      <c r="A93" s="7">
        <v>82</v>
      </c>
      <c r="B93" s="13" t="s">
        <v>124</v>
      </c>
      <c r="C93" s="24">
        <v>0.03</v>
      </c>
      <c r="D93" s="24">
        <v>10</v>
      </c>
      <c r="E93" s="24">
        <v>0.3</v>
      </c>
      <c r="F93" s="24">
        <v>60</v>
      </c>
      <c r="G93" s="24">
        <v>2</v>
      </c>
      <c r="H93" s="25">
        <v>3.1</v>
      </c>
    </row>
    <row r="94" spans="1:8" x14ac:dyDescent="0.25">
      <c r="A94" s="7">
        <v>83</v>
      </c>
      <c r="B94" s="13" t="s">
        <v>125</v>
      </c>
      <c r="C94" s="24">
        <v>0.02</v>
      </c>
      <c r="D94" s="24">
        <v>4.0000000000000001E-3</v>
      </c>
      <c r="E94" s="24">
        <v>1.2E-2</v>
      </c>
      <c r="F94" s="24">
        <v>0.5</v>
      </c>
      <c r="G94" s="24" t="s">
        <v>18</v>
      </c>
      <c r="H94" s="25">
        <v>0.14000000000000001</v>
      </c>
    </row>
    <row r="95" spans="1:8" ht="25.5" customHeight="1" x14ac:dyDescent="0.25">
      <c r="A95" s="7" t="s">
        <v>126</v>
      </c>
      <c r="B95" s="7" t="s">
        <v>127</v>
      </c>
      <c r="C95" s="29" t="s">
        <v>75</v>
      </c>
      <c r="D95" s="30"/>
      <c r="E95" s="24"/>
      <c r="F95" s="24"/>
      <c r="G95" s="24"/>
      <c r="H95" s="25"/>
    </row>
    <row r="96" spans="1:8" x14ac:dyDescent="0.25">
      <c r="A96" s="7">
        <v>90</v>
      </c>
      <c r="B96" s="13" t="s">
        <v>128</v>
      </c>
      <c r="C96" s="24">
        <v>1.5E-3</v>
      </c>
      <c r="D96" s="24">
        <v>5.8</v>
      </c>
      <c r="E96" s="24">
        <v>4.3999999999999997E-2</v>
      </c>
      <c r="F96" s="24">
        <v>0.04</v>
      </c>
      <c r="G96" s="24">
        <v>0.05</v>
      </c>
      <c r="H96" s="25">
        <v>4.4999999999999998E-2</v>
      </c>
    </row>
    <row r="97" spans="1:8" ht="25.5" customHeight="1" x14ac:dyDescent="0.25">
      <c r="A97" s="7">
        <v>91</v>
      </c>
      <c r="B97" s="13" t="s">
        <v>129</v>
      </c>
      <c r="C97" s="29" t="s">
        <v>75</v>
      </c>
      <c r="D97" s="30"/>
      <c r="E97" s="24"/>
      <c r="F97" s="24"/>
      <c r="G97" s="24"/>
      <c r="H97" s="25"/>
    </row>
    <row r="98" spans="1:8" x14ac:dyDescent="0.25">
      <c r="A98" s="7">
        <v>92</v>
      </c>
      <c r="B98" s="13" t="s">
        <v>130</v>
      </c>
      <c r="C98" s="24">
        <v>3.3</v>
      </c>
      <c r="D98" s="24">
        <v>1.6</v>
      </c>
      <c r="E98" s="24">
        <v>1.4999999999999999E-2</v>
      </c>
      <c r="F98" s="24">
        <v>7.0000000000000001E-3</v>
      </c>
      <c r="G98" s="24" t="s">
        <v>18</v>
      </c>
      <c r="H98" s="25">
        <v>1.7999999999999999E-2</v>
      </c>
    </row>
    <row r="99" spans="1:8" ht="25.5" customHeight="1" x14ac:dyDescent="0.25">
      <c r="A99" s="7" t="s">
        <v>131</v>
      </c>
      <c r="B99" s="7" t="s">
        <v>132</v>
      </c>
      <c r="C99" s="29" t="s">
        <v>75</v>
      </c>
      <c r="D99" s="30"/>
      <c r="E99" s="24"/>
      <c r="F99" s="24"/>
      <c r="G99" s="24"/>
      <c r="H99" s="25"/>
    </row>
  </sheetData>
  <mergeCells count="7">
    <mergeCell ref="C97:D97"/>
    <mergeCell ref="C99:D99"/>
    <mergeCell ref="B7:B10"/>
    <mergeCell ref="E7:F8"/>
    <mergeCell ref="C54:D54"/>
    <mergeCell ref="C72:D72"/>
    <mergeCell ref="C95:D9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4"/>
  <sheetViews>
    <sheetView topLeftCell="A51" workbookViewId="0">
      <selection activeCell="I64" sqref="I64"/>
    </sheetView>
  </sheetViews>
  <sheetFormatPr defaultRowHeight="15" x14ac:dyDescent="0.25"/>
  <cols>
    <col min="1" max="1" width="12" style="15" customWidth="1"/>
    <col min="2" max="2" width="12.42578125" customWidth="1"/>
    <col min="3" max="3" width="12.7109375" customWidth="1"/>
    <col min="7" max="7" width="10.85546875" customWidth="1"/>
    <col min="8" max="8" width="11" customWidth="1"/>
    <col min="9" max="9" width="11.5703125" customWidth="1"/>
  </cols>
  <sheetData>
    <row r="1" spans="1:9" ht="30" x14ac:dyDescent="0.25">
      <c r="A1" s="15" t="s">
        <v>3</v>
      </c>
      <c r="B1" s="21" t="s">
        <v>142</v>
      </c>
      <c r="C1" t="s">
        <v>143</v>
      </c>
      <c r="F1" t="s">
        <v>153</v>
      </c>
      <c r="G1" t="s">
        <v>3</v>
      </c>
      <c r="H1" s="21" t="s">
        <v>154</v>
      </c>
      <c r="I1" s="21" t="s">
        <v>155</v>
      </c>
    </row>
    <row r="2" spans="1:9" x14ac:dyDescent="0.25">
      <c r="A2" s="20" t="s">
        <v>17</v>
      </c>
      <c r="B2">
        <v>1</v>
      </c>
      <c r="C2">
        <f>LOG10(I2)</f>
        <v>10.447158031342219</v>
      </c>
      <c r="F2" s="19" t="s">
        <v>16</v>
      </c>
      <c r="G2" s="13" t="s">
        <v>17</v>
      </c>
      <c r="H2" s="16">
        <v>28000000000</v>
      </c>
      <c r="I2" s="17">
        <v>28000000000</v>
      </c>
    </row>
    <row r="3" spans="1:9" x14ac:dyDescent="0.25">
      <c r="A3" s="20" t="s">
        <v>20</v>
      </c>
      <c r="B3">
        <v>2</v>
      </c>
      <c r="C3">
        <f t="shared" ref="C3:C66" si="0">LOG10(I3)</f>
        <v>9.4313637641589878</v>
      </c>
      <c r="F3" s="19" t="s">
        <v>19</v>
      </c>
      <c r="G3" s="13" t="s">
        <v>20</v>
      </c>
      <c r="H3" s="16">
        <v>2700000000</v>
      </c>
      <c r="I3" s="17">
        <v>2700000000</v>
      </c>
    </row>
    <row r="4" spans="1:9" x14ac:dyDescent="0.25">
      <c r="A4" s="20" t="s">
        <v>22</v>
      </c>
      <c r="B4">
        <v>3</v>
      </c>
      <c r="C4">
        <f t="shared" si="0"/>
        <v>1.7558748556724915</v>
      </c>
      <c r="F4" s="19" t="s">
        <v>21</v>
      </c>
      <c r="G4" s="13" t="s">
        <v>22</v>
      </c>
      <c r="H4" s="14">
        <v>0.4</v>
      </c>
      <c r="I4" s="18">
        <v>57</v>
      </c>
    </row>
    <row r="5" spans="1:9" ht="14.25" customHeight="1" x14ac:dyDescent="0.25">
      <c r="A5" s="20" t="s">
        <v>24</v>
      </c>
      <c r="B5">
        <v>4</v>
      </c>
      <c r="C5">
        <f t="shared" si="0"/>
        <v>-0.15490195998574319</v>
      </c>
      <c r="F5" s="19" t="s">
        <v>23</v>
      </c>
      <c r="G5" s="13" t="s">
        <v>24</v>
      </c>
      <c r="H5" s="14" t="s">
        <v>25</v>
      </c>
      <c r="I5" s="18">
        <v>0.7</v>
      </c>
    </row>
    <row r="6" spans="1:9" x14ac:dyDescent="0.25">
      <c r="A6" s="20" t="s">
        <v>27</v>
      </c>
      <c r="B6">
        <v>5</v>
      </c>
      <c r="C6">
        <f t="shared" si="0"/>
        <v>1.3222192947339193</v>
      </c>
      <c r="F6" s="19" t="s">
        <v>26</v>
      </c>
      <c r="G6" s="13" t="s">
        <v>27</v>
      </c>
      <c r="H6" s="14" t="s">
        <v>28</v>
      </c>
      <c r="I6" s="18">
        <v>21</v>
      </c>
    </row>
    <row r="7" spans="1:9" x14ac:dyDescent="0.25">
      <c r="A7" s="20" t="s">
        <v>30</v>
      </c>
      <c r="B7">
        <v>6</v>
      </c>
      <c r="C7">
        <f t="shared" si="0"/>
        <v>7</v>
      </c>
      <c r="F7" s="19" t="s">
        <v>29</v>
      </c>
      <c r="G7" s="13" t="s">
        <v>30</v>
      </c>
      <c r="H7" s="16">
        <v>10000000</v>
      </c>
      <c r="I7" s="17">
        <v>10000000</v>
      </c>
    </row>
    <row r="8" spans="1:9" x14ac:dyDescent="0.25">
      <c r="A8" s="20" t="s">
        <v>32</v>
      </c>
      <c r="B8">
        <v>7</v>
      </c>
      <c r="C8">
        <f t="shared" si="0"/>
        <v>6.4913616938342731</v>
      </c>
      <c r="F8" s="19" t="s">
        <v>31</v>
      </c>
      <c r="G8" s="13" t="s">
        <v>32</v>
      </c>
      <c r="H8" s="16">
        <v>3100000</v>
      </c>
      <c r="I8" s="17">
        <v>3100000</v>
      </c>
    </row>
    <row r="9" spans="1:9" x14ac:dyDescent="0.25">
      <c r="A9" s="20" t="s">
        <v>34</v>
      </c>
      <c r="B9">
        <v>8</v>
      </c>
      <c r="C9">
        <f t="shared" si="0"/>
        <v>7.3802112417116064</v>
      </c>
      <c r="F9" s="19" t="s">
        <v>33</v>
      </c>
      <c r="G9" s="13" t="s">
        <v>34</v>
      </c>
      <c r="H9" s="16">
        <v>24000000</v>
      </c>
      <c r="I9" s="17">
        <v>24000000</v>
      </c>
    </row>
    <row r="10" spans="1:9" x14ac:dyDescent="0.25">
      <c r="A10" s="20" t="s">
        <v>36</v>
      </c>
      <c r="B10">
        <v>9</v>
      </c>
      <c r="C10">
        <f t="shared" si="0"/>
        <v>2.9294189257142929</v>
      </c>
      <c r="F10" s="19" t="s">
        <v>35</v>
      </c>
      <c r="G10" s="13" t="s">
        <v>36</v>
      </c>
      <c r="H10" s="16">
        <v>10000</v>
      </c>
      <c r="I10" s="17">
        <v>850</v>
      </c>
    </row>
    <row r="11" spans="1:9" x14ac:dyDescent="0.25">
      <c r="A11" s="20" t="s">
        <v>37</v>
      </c>
      <c r="B11">
        <v>10</v>
      </c>
      <c r="C11">
        <f t="shared" si="0"/>
        <v>6.4771212547196626</v>
      </c>
      <c r="F11" s="19">
        <v>10</v>
      </c>
      <c r="G11" s="13" t="s">
        <v>37</v>
      </c>
      <c r="H11" s="16">
        <v>3000000</v>
      </c>
      <c r="I11" s="17">
        <v>3000000</v>
      </c>
    </row>
    <row r="12" spans="1:9" x14ac:dyDescent="0.25">
      <c r="A12" s="20" t="s">
        <v>38</v>
      </c>
      <c r="B12">
        <v>11</v>
      </c>
      <c r="C12">
        <f t="shared" si="0"/>
        <v>4.7558748556724915</v>
      </c>
      <c r="F12" s="19">
        <v>11</v>
      </c>
      <c r="G12" s="13" t="s">
        <v>38</v>
      </c>
      <c r="H12" s="16">
        <v>60000</v>
      </c>
      <c r="I12" s="17">
        <v>57000</v>
      </c>
    </row>
    <row r="13" spans="1:9" ht="25.5" x14ac:dyDescent="0.25">
      <c r="A13" s="20" t="s">
        <v>39</v>
      </c>
      <c r="B13">
        <v>12</v>
      </c>
      <c r="C13">
        <f t="shared" si="0"/>
        <v>6.0413926851582254</v>
      </c>
      <c r="F13" s="19">
        <v>12</v>
      </c>
      <c r="G13" s="13" t="s">
        <v>39</v>
      </c>
      <c r="H13" s="16">
        <v>1000000</v>
      </c>
      <c r="I13" s="17">
        <v>1100000</v>
      </c>
    </row>
    <row r="14" spans="1:9" x14ac:dyDescent="0.25">
      <c r="A14" s="20" t="s">
        <v>40</v>
      </c>
      <c r="B14">
        <v>13</v>
      </c>
      <c r="C14">
        <f t="shared" si="0"/>
        <v>4.9294189257142929</v>
      </c>
      <c r="F14" s="19">
        <v>13</v>
      </c>
      <c r="G14" s="13" t="s">
        <v>40</v>
      </c>
      <c r="H14" s="16">
        <v>83000</v>
      </c>
      <c r="I14" s="17">
        <v>85000</v>
      </c>
    </row>
    <row r="15" spans="1:9" x14ac:dyDescent="0.25">
      <c r="A15" s="20" t="s">
        <v>41</v>
      </c>
      <c r="B15">
        <v>14</v>
      </c>
      <c r="C15">
        <f t="shared" si="0"/>
        <v>6</v>
      </c>
      <c r="F15" s="19">
        <v>14</v>
      </c>
      <c r="G15" s="13" t="s">
        <v>41</v>
      </c>
      <c r="H15" s="16">
        <v>1000000</v>
      </c>
      <c r="I15" s="17">
        <v>1000000</v>
      </c>
    </row>
    <row r="16" spans="1:9" x14ac:dyDescent="0.25">
      <c r="A16" s="20" t="s">
        <v>42</v>
      </c>
      <c r="B16">
        <v>15</v>
      </c>
      <c r="C16">
        <f t="shared" si="0"/>
        <v>4</v>
      </c>
      <c r="F16" s="19">
        <v>15</v>
      </c>
      <c r="G16" s="13" t="s">
        <v>42</v>
      </c>
      <c r="H16" s="16">
        <v>8000</v>
      </c>
      <c r="I16" s="17">
        <v>10000</v>
      </c>
    </row>
    <row r="17" spans="1:9" x14ac:dyDescent="0.25">
      <c r="A17" s="20" t="s">
        <v>43</v>
      </c>
      <c r="B17">
        <v>16</v>
      </c>
      <c r="C17">
        <f t="shared" si="0"/>
        <v>5.7160033436347994</v>
      </c>
      <c r="F17" s="19">
        <v>16</v>
      </c>
      <c r="G17" s="13" t="s">
        <v>43</v>
      </c>
      <c r="H17" s="16">
        <v>450000</v>
      </c>
      <c r="I17" s="17">
        <v>520000</v>
      </c>
    </row>
    <row r="18" spans="1:9" x14ac:dyDescent="0.25">
      <c r="A18" s="20" t="s">
        <v>44</v>
      </c>
      <c r="B18">
        <v>17</v>
      </c>
      <c r="C18">
        <f t="shared" si="0"/>
        <v>3.716003343634799</v>
      </c>
      <c r="F18" s="19">
        <v>17</v>
      </c>
      <c r="G18" s="13" t="s">
        <v>44</v>
      </c>
      <c r="H18" s="16">
        <v>9000</v>
      </c>
      <c r="I18" s="17">
        <v>5200</v>
      </c>
    </row>
    <row r="19" spans="1:9" x14ac:dyDescent="0.25">
      <c r="A19" s="20" t="s">
        <v>45</v>
      </c>
      <c r="B19">
        <v>18</v>
      </c>
      <c r="C19">
        <f t="shared" si="0"/>
        <v>5</v>
      </c>
      <c r="F19" s="19">
        <v>18</v>
      </c>
      <c r="G19" s="13" t="s">
        <v>45</v>
      </c>
      <c r="H19" s="16">
        <v>100000</v>
      </c>
      <c r="I19" s="17">
        <v>100000</v>
      </c>
    </row>
    <row r="20" spans="1:9" x14ac:dyDescent="0.25">
      <c r="A20" s="20" t="s">
        <v>46</v>
      </c>
      <c r="B20">
        <v>19</v>
      </c>
      <c r="C20">
        <f t="shared" si="0"/>
        <v>3.5797835966168101</v>
      </c>
      <c r="F20" s="19">
        <v>19</v>
      </c>
      <c r="G20" s="13" t="s">
        <v>46</v>
      </c>
      <c r="H20" s="16">
        <v>3700</v>
      </c>
      <c r="I20" s="17">
        <v>3800</v>
      </c>
    </row>
    <row r="21" spans="1:9" x14ac:dyDescent="0.25">
      <c r="A21" s="20" t="s">
        <v>47</v>
      </c>
      <c r="B21">
        <v>20</v>
      </c>
      <c r="C21">
        <f t="shared" si="0"/>
        <v>4.7853298350107671</v>
      </c>
      <c r="F21" s="19">
        <v>20</v>
      </c>
      <c r="G21" s="13" t="s">
        <v>47</v>
      </c>
      <c r="H21" s="16">
        <v>64000</v>
      </c>
      <c r="I21" s="17">
        <v>61000</v>
      </c>
    </row>
    <row r="22" spans="1:9" x14ac:dyDescent="0.25">
      <c r="A22" s="20" t="s">
        <v>48</v>
      </c>
      <c r="B22">
        <v>21</v>
      </c>
      <c r="C22">
        <f t="shared" si="0"/>
        <v>1.5314789170422551</v>
      </c>
      <c r="F22" s="19">
        <v>21</v>
      </c>
      <c r="G22" s="13" t="s">
        <v>48</v>
      </c>
      <c r="H22" s="14" t="s">
        <v>49</v>
      </c>
      <c r="I22" s="18">
        <v>34</v>
      </c>
    </row>
    <row r="23" spans="1:9" x14ac:dyDescent="0.25">
      <c r="A23" s="20" t="s">
        <v>50</v>
      </c>
      <c r="B23">
        <v>22</v>
      </c>
      <c r="C23">
        <f t="shared" si="0"/>
        <v>3.3802112417116059</v>
      </c>
      <c r="F23" s="19">
        <v>22</v>
      </c>
      <c r="G23" s="13" t="s">
        <v>50</v>
      </c>
      <c r="H23" s="16">
        <v>2700</v>
      </c>
      <c r="I23" s="17">
        <v>2400</v>
      </c>
    </row>
    <row r="24" spans="1:9" x14ac:dyDescent="0.25">
      <c r="A24" s="20" t="s">
        <v>51</v>
      </c>
      <c r="B24">
        <v>23</v>
      </c>
      <c r="C24">
        <f t="shared" si="0"/>
        <v>2.4623979978989561</v>
      </c>
      <c r="F24" s="19">
        <v>23</v>
      </c>
      <c r="G24" s="13" t="s">
        <v>51</v>
      </c>
      <c r="H24" s="16">
        <v>280</v>
      </c>
      <c r="I24" s="17">
        <v>290</v>
      </c>
    </row>
    <row r="25" spans="1:9" x14ac:dyDescent="0.25">
      <c r="A25" s="20" t="s">
        <v>52</v>
      </c>
      <c r="B25">
        <v>24</v>
      </c>
      <c r="C25">
        <f t="shared" si="0"/>
        <v>4.1139433523068369</v>
      </c>
      <c r="F25" s="19">
        <v>24</v>
      </c>
      <c r="G25" s="13" t="s">
        <v>52</v>
      </c>
      <c r="H25" s="16">
        <v>13000</v>
      </c>
      <c r="I25" s="17">
        <v>13000</v>
      </c>
    </row>
    <row r="26" spans="1:9" ht="25.5" x14ac:dyDescent="0.25">
      <c r="A26" s="20" t="s">
        <v>53</v>
      </c>
      <c r="B26">
        <v>25</v>
      </c>
      <c r="C26">
        <f t="shared" si="0"/>
        <v>3.9777236052888476</v>
      </c>
      <c r="F26" s="19">
        <v>25</v>
      </c>
      <c r="G26" s="13" t="s">
        <v>53</v>
      </c>
      <c r="H26" s="16">
        <v>6900</v>
      </c>
      <c r="I26" s="17">
        <v>9500</v>
      </c>
    </row>
    <row r="27" spans="1:9" x14ac:dyDescent="0.25">
      <c r="A27" s="20" t="s">
        <v>54</v>
      </c>
      <c r="B27">
        <v>26</v>
      </c>
      <c r="C27">
        <f t="shared" si="0"/>
        <v>5.9542425094393252</v>
      </c>
      <c r="F27" s="19">
        <v>26</v>
      </c>
      <c r="G27" s="13" t="s">
        <v>54</v>
      </c>
      <c r="H27" s="16">
        <v>900000</v>
      </c>
      <c r="I27" s="17">
        <v>900000</v>
      </c>
    </row>
    <row r="28" spans="1:9" x14ac:dyDescent="0.25">
      <c r="A28" s="20" t="s">
        <v>55</v>
      </c>
      <c r="B28">
        <v>27</v>
      </c>
      <c r="C28">
        <f t="shared" si="0"/>
        <v>3.3617278360175931</v>
      </c>
      <c r="F28" s="19">
        <v>27</v>
      </c>
      <c r="G28" s="13" t="s">
        <v>55</v>
      </c>
      <c r="H28" s="16">
        <v>2300</v>
      </c>
      <c r="I28" s="17">
        <v>2300</v>
      </c>
    </row>
    <row r="29" spans="1:9" x14ac:dyDescent="0.25">
      <c r="A29" s="20" t="s">
        <v>56</v>
      </c>
      <c r="B29">
        <v>28</v>
      </c>
      <c r="C29">
        <f t="shared" si="0"/>
        <v>4.6989700043360187</v>
      </c>
      <c r="F29" s="19">
        <v>28</v>
      </c>
      <c r="G29" s="13" t="s">
        <v>56</v>
      </c>
      <c r="H29" s="16">
        <v>50000</v>
      </c>
      <c r="I29" s="17">
        <v>50000</v>
      </c>
    </row>
    <row r="30" spans="1:9" x14ac:dyDescent="0.25">
      <c r="A30" s="20" t="s">
        <v>57</v>
      </c>
      <c r="B30">
        <v>29</v>
      </c>
      <c r="C30">
        <f t="shared" si="0"/>
        <v>2.716003343634799</v>
      </c>
      <c r="F30" s="19">
        <v>29</v>
      </c>
      <c r="G30" s="13" t="s">
        <v>57</v>
      </c>
      <c r="H30" s="16">
        <v>450</v>
      </c>
      <c r="I30" s="17">
        <v>520</v>
      </c>
    </row>
    <row r="31" spans="1:9" x14ac:dyDescent="0.25">
      <c r="A31" s="20" t="s">
        <v>58</v>
      </c>
      <c r="B31">
        <v>30</v>
      </c>
      <c r="C31">
        <f t="shared" si="0"/>
        <v>3.1139433523068369</v>
      </c>
      <c r="F31" s="19">
        <v>30</v>
      </c>
      <c r="G31" s="13" t="s">
        <v>58</v>
      </c>
      <c r="H31" s="16">
        <v>1100</v>
      </c>
      <c r="I31" s="17">
        <v>1300</v>
      </c>
    </row>
    <row r="32" spans="1:9" x14ac:dyDescent="0.25">
      <c r="A32" s="20" t="s">
        <v>59</v>
      </c>
      <c r="B32">
        <v>31</v>
      </c>
      <c r="C32">
        <f t="shared" si="0"/>
        <v>1.5797835966168101</v>
      </c>
      <c r="F32" s="19">
        <v>31</v>
      </c>
      <c r="G32" s="13" t="s">
        <v>59</v>
      </c>
      <c r="H32" s="14" t="s">
        <v>60</v>
      </c>
      <c r="I32" s="18">
        <v>38</v>
      </c>
    </row>
    <row r="33" spans="1:9" x14ac:dyDescent="0.25">
      <c r="A33" s="20" t="s">
        <v>61</v>
      </c>
      <c r="B33">
        <v>32</v>
      </c>
      <c r="C33">
        <f t="shared" si="0"/>
        <v>2.0791812460476247</v>
      </c>
      <c r="F33" s="19">
        <v>32</v>
      </c>
      <c r="G33" s="13" t="s">
        <v>61</v>
      </c>
      <c r="H33" s="14" t="s">
        <v>62</v>
      </c>
      <c r="I33" s="17">
        <v>120</v>
      </c>
    </row>
    <row r="34" spans="1:9" x14ac:dyDescent="0.25">
      <c r="A34" s="20" t="s">
        <v>64</v>
      </c>
      <c r="B34">
        <v>33</v>
      </c>
      <c r="C34">
        <f t="shared" si="0"/>
        <v>0.81954393554186866</v>
      </c>
      <c r="F34" s="19" t="s">
        <v>63</v>
      </c>
      <c r="G34" s="13" t="s">
        <v>64</v>
      </c>
      <c r="H34" s="14" t="s">
        <v>18</v>
      </c>
      <c r="I34" s="18">
        <v>6.6</v>
      </c>
    </row>
    <row r="35" spans="1:9" x14ac:dyDescent="0.25">
      <c r="A35" s="20" t="s">
        <v>65</v>
      </c>
      <c r="B35">
        <v>34</v>
      </c>
      <c r="C35">
        <f t="shared" si="0"/>
        <v>1.7993405494535817</v>
      </c>
      <c r="F35" s="19">
        <v>34</v>
      </c>
      <c r="G35" s="13" t="s">
        <v>65</v>
      </c>
      <c r="H35" s="14" t="s">
        <v>18</v>
      </c>
      <c r="I35" s="18">
        <v>63</v>
      </c>
    </row>
    <row r="36" spans="1:9" x14ac:dyDescent="0.25">
      <c r="A36" s="20" t="s">
        <v>66</v>
      </c>
      <c r="B36">
        <v>35</v>
      </c>
      <c r="C36">
        <f t="shared" si="0"/>
        <v>1.0791812460476249</v>
      </c>
      <c r="F36" s="19">
        <v>35</v>
      </c>
      <c r="G36" s="13" t="s">
        <v>66</v>
      </c>
      <c r="H36" s="14" t="s">
        <v>18</v>
      </c>
      <c r="I36" s="18">
        <v>12</v>
      </c>
    </row>
    <row r="37" spans="1:9" x14ac:dyDescent="0.25">
      <c r="A37" s="20" t="s">
        <v>67</v>
      </c>
      <c r="B37">
        <v>36</v>
      </c>
      <c r="C37">
        <f t="shared" si="0"/>
        <v>1.6812412373755872</v>
      </c>
      <c r="F37" s="19">
        <v>36</v>
      </c>
      <c r="G37" s="13" t="s">
        <v>67</v>
      </c>
      <c r="H37" s="14" t="s">
        <v>18</v>
      </c>
      <c r="I37" s="18">
        <v>48</v>
      </c>
    </row>
    <row r="38" spans="1:9" x14ac:dyDescent="0.25">
      <c r="A38" s="20" t="s">
        <v>68</v>
      </c>
      <c r="B38">
        <v>37</v>
      </c>
      <c r="C38">
        <f t="shared" si="0"/>
        <v>0.84509804001425681</v>
      </c>
      <c r="F38" s="19">
        <v>37</v>
      </c>
      <c r="G38" s="13" t="s">
        <v>68</v>
      </c>
      <c r="H38" s="14">
        <v>11</v>
      </c>
      <c r="I38" s="18">
        <v>7</v>
      </c>
    </row>
    <row r="39" spans="1:9" x14ac:dyDescent="0.25">
      <c r="A39" s="20" t="s">
        <v>69</v>
      </c>
      <c r="B39">
        <v>38</v>
      </c>
      <c r="C39">
        <f t="shared" si="0"/>
        <v>1.3802112417116059</v>
      </c>
      <c r="F39" s="19">
        <v>38</v>
      </c>
      <c r="G39" s="13" t="s">
        <v>69</v>
      </c>
      <c r="H39" s="14">
        <v>22</v>
      </c>
      <c r="I39" s="18">
        <v>24</v>
      </c>
    </row>
    <row r="40" spans="1:9" x14ac:dyDescent="0.25">
      <c r="A40" s="20" t="s">
        <v>70</v>
      </c>
      <c r="B40">
        <v>39</v>
      </c>
      <c r="C40">
        <f t="shared" si="0"/>
        <v>0.66275783168157409</v>
      </c>
      <c r="F40" s="19">
        <v>39</v>
      </c>
      <c r="G40" s="13" t="s">
        <v>70</v>
      </c>
      <c r="H40" s="14">
        <v>4.9000000000000004</v>
      </c>
      <c r="I40" s="18">
        <v>4.5999999999999996</v>
      </c>
    </row>
    <row r="41" spans="1:9" x14ac:dyDescent="0.25">
      <c r="A41" s="20" t="s">
        <v>71</v>
      </c>
      <c r="B41">
        <v>40</v>
      </c>
      <c r="C41">
        <f t="shared" si="0"/>
        <v>1.0569048513364727</v>
      </c>
      <c r="F41" s="19">
        <v>40</v>
      </c>
      <c r="G41" s="13" t="s">
        <v>71</v>
      </c>
      <c r="H41" s="14">
        <v>11.2</v>
      </c>
      <c r="I41" s="18">
        <v>11.4</v>
      </c>
    </row>
    <row r="42" spans="1:9" x14ac:dyDescent="0.25">
      <c r="A42" s="20" t="s">
        <v>72</v>
      </c>
      <c r="B42">
        <v>41</v>
      </c>
      <c r="C42">
        <f t="shared" si="0"/>
        <v>-0.15490195998574319</v>
      </c>
      <c r="F42" s="19">
        <v>41</v>
      </c>
      <c r="G42" s="13" t="s">
        <v>72</v>
      </c>
      <c r="H42" s="14">
        <v>0.7</v>
      </c>
      <c r="I42" s="18">
        <v>0.7</v>
      </c>
    </row>
    <row r="43" spans="1:9" ht="25.5" x14ac:dyDescent="0.25">
      <c r="A43" s="20" t="s">
        <v>73</v>
      </c>
      <c r="B43">
        <v>42</v>
      </c>
      <c r="C43">
        <f t="shared" si="0"/>
        <v>0.41497334797081797</v>
      </c>
      <c r="F43" s="19">
        <v>42</v>
      </c>
      <c r="G43" s="13" t="s">
        <v>73</v>
      </c>
      <c r="H43" s="14">
        <v>2.2999999999999998</v>
      </c>
      <c r="I43" s="18">
        <v>2.6</v>
      </c>
    </row>
    <row r="44" spans="1:9" x14ac:dyDescent="0.25">
      <c r="A44" s="20" t="s">
        <v>76</v>
      </c>
      <c r="B44">
        <v>44</v>
      </c>
      <c r="C44">
        <f t="shared" si="0"/>
        <v>0.27875360095282892</v>
      </c>
      <c r="F44" s="19">
        <v>44</v>
      </c>
      <c r="G44" s="13" t="s">
        <v>76</v>
      </c>
      <c r="H44" s="14">
        <v>1.9</v>
      </c>
      <c r="I44" s="18">
        <v>1.9</v>
      </c>
    </row>
    <row r="45" spans="1:9" x14ac:dyDescent="0.25">
      <c r="A45" s="20" t="s">
        <v>77</v>
      </c>
      <c r="B45">
        <v>45</v>
      </c>
      <c r="C45">
        <f t="shared" si="0"/>
        <v>-0.46852108295774486</v>
      </c>
      <c r="F45" s="19">
        <v>45</v>
      </c>
      <c r="G45" s="13" t="s">
        <v>77</v>
      </c>
      <c r="H45" s="14">
        <v>0.4</v>
      </c>
      <c r="I45" s="18">
        <v>0.34</v>
      </c>
    </row>
    <row r="46" spans="1:9" x14ac:dyDescent="0.25">
      <c r="A46" s="20" t="s">
        <v>79</v>
      </c>
      <c r="B46">
        <v>46</v>
      </c>
      <c r="C46">
        <f t="shared" si="0"/>
        <v>0.14612803567823801</v>
      </c>
      <c r="F46" s="19">
        <v>46</v>
      </c>
      <c r="G46" s="13" t="s">
        <v>79</v>
      </c>
      <c r="H46" s="14">
        <v>1.4</v>
      </c>
      <c r="I46" s="18">
        <v>1.4</v>
      </c>
    </row>
    <row r="47" spans="1:9" x14ac:dyDescent="0.25">
      <c r="A47" s="20" t="s">
        <v>80</v>
      </c>
      <c r="B47">
        <v>47</v>
      </c>
      <c r="C47">
        <f t="shared" si="0"/>
        <v>-0.30980391997148632</v>
      </c>
      <c r="F47" s="19">
        <v>47</v>
      </c>
      <c r="G47" s="13" t="s">
        <v>80</v>
      </c>
      <c r="H47" s="14">
        <v>0.2</v>
      </c>
      <c r="I47" s="18">
        <v>0.49</v>
      </c>
    </row>
    <row r="48" spans="1:9" x14ac:dyDescent="0.25">
      <c r="A48" s="20" t="s">
        <v>81</v>
      </c>
      <c r="B48">
        <v>48</v>
      </c>
      <c r="C48">
        <f t="shared" si="0"/>
        <v>0.20411998265592479</v>
      </c>
      <c r="F48" s="19">
        <v>48</v>
      </c>
      <c r="G48" s="13" t="s">
        <v>81</v>
      </c>
      <c r="H48" s="14">
        <v>2</v>
      </c>
      <c r="I48" s="18">
        <v>1.6</v>
      </c>
    </row>
    <row r="49" spans="1:9" x14ac:dyDescent="0.25">
      <c r="A49" s="20" t="s">
        <v>82</v>
      </c>
      <c r="B49">
        <v>49</v>
      </c>
      <c r="C49">
        <f t="shared" si="0"/>
        <v>-0.72124639904717103</v>
      </c>
      <c r="F49" s="19">
        <v>49</v>
      </c>
      <c r="G49" s="13" t="s">
        <v>82</v>
      </c>
      <c r="H49" s="14" t="s">
        <v>133</v>
      </c>
      <c r="I49" s="18">
        <v>0.19</v>
      </c>
    </row>
    <row r="50" spans="1:9" x14ac:dyDescent="0.25">
      <c r="A50" s="20" t="s">
        <v>83</v>
      </c>
      <c r="B50">
        <v>50</v>
      </c>
      <c r="C50">
        <f t="shared" si="0"/>
        <v>0.59106460702649921</v>
      </c>
      <c r="F50" s="19">
        <v>50</v>
      </c>
      <c r="G50" s="13" t="s">
        <v>83</v>
      </c>
      <c r="H50" s="16">
        <v>3</v>
      </c>
      <c r="I50" s="18">
        <v>3.9</v>
      </c>
    </row>
    <row r="51" spans="1:9" x14ac:dyDescent="0.25">
      <c r="A51" s="20" t="s">
        <v>84</v>
      </c>
      <c r="B51">
        <v>51</v>
      </c>
      <c r="C51">
        <f t="shared" si="0"/>
        <v>-0.50863830616572736</v>
      </c>
      <c r="F51" s="19">
        <v>51</v>
      </c>
      <c r="G51" s="13" t="s">
        <v>84</v>
      </c>
      <c r="H51" s="14">
        <v>0.3</v>
      </c>
      <c r="I51" s="18">
        <v>0.31</v>
      </c>
    </row>
    <row r="52" spans="1:9" x14ac:dyDescent="0.25">
      <c r="A52" s="20" t="s">
        <v>85</v>
      </c>
      <c r="B52">
        <v>52</v>
      </c>
      <c r="C52">
        <f t="shared" si="0"/>
        <v>0.69019608002851374</v>
      </c>
      <c r="F52" s="19">
        <v>52</v>
      </c>
      <c r="G52" s="13" t="s">
        <v>85</v>
      </c>
      <c r="H52" s="14" t="s">
        <v>18</v>
      </c>
      <c r="I52" s="18">
        <v>4.9000000000000004</v>
      </c>
    </row>
    <row r="53" spans="1:9" x14ac:dyDescent="0.25">
      <c r="A53" s="20" t="s">
        <v>86</v>
      </c>
      <c r="B53">
        <v>53</v>
      </c>
      <c r="C53">
        <f t="shared" si="0"/>
        <v>-4.5757490560675115E-2</v>
      </c>
      <c r="F53" s="19">
        <v>53</v>
      </c>
      <c r="G53" s="13" t="s">
        <v>86</v>
      </c>
      <c r="H53" s="14" t="s">
        <v>18</v>
      </c>
      <c r="I53" s="18">
        <v>0.9</v>
      </c>
    </row>
    <row r="54" spans="1:9" x14ac:dyDescent="0.25">
      <c r="A54" s="20" t="s">
        <v>87</v>
      </c>
      <c r="B54">
        <v>54</v>
      </c>
      <c r="C54">
        <f t="shared" si="0"/>
        <v>0.68124123737558717</v>
      </c>
      <c r="F54" s="19">
        <v>54</v>
      </c>
      <c r="G54" s="13" t="s">
        <v>87</v>
      </c>
      <c r="H54" s="14" t="s">
        <v>18</v>
      </c>
      <c r="I54" s="18">
        <v>4.8</v>
      </c>
    </row>
    <row r="55" spans="1:9" x14ac:dyDescent="0.25">
      <c r="A55" s="20" t="s">
        <v>88</v>
      </c>
      <c r="B55">
        <v>55</v>
      </c>
      <c r="C55">
        <f t="shared" si="0"/>
        <v>-0.43179827593300502</v>
      </c>
      <c r="F55" s="19">
        <v>55</v>
      </c>
      <c r="G55" s="13" t="s">
        <v>88</v>
      </c>
      <c r="H55" s="14" t="s">
        <v>18</v>
      </c>
      <c r="I55" s="18">
        <v>0.37</v>
      </c>
    </row>
    <row r="56" spans="1:9" x14ac:dyDescent="0.25">
      <c r="A56" s="20" t="s">
        <v>90</v>
      </c>
      <c r="B56">
        <v>56</v>
      </c>
      <c r="C56">
        <f t="shared" si="0"/>
        <v>0.65321251377534373</v>
      </c>
      <c r="F56" s="19">
        <v>56</v>
      </c>
      <c r="G56" s="13" t="s">
        <v>90</v>
      </c>
      <c r="H56" s="14">
        <v>3.8</v>
      </c>
      <c r="I56" s="18">
        <v>4.5</v>
      </c>
    </row>
    <row r="57" spans="1:9" x14ac:dyDescent="0.25">
      <c r="A57" s="20" t="s">
        <v>91</v>
      </c>
      <c r="B57">
        <v>57</v>
      </c>
      <c r="C57">
        <f t="shared" si="0"/>
        <v>-0.35654732351381258</v>
      </c>
      <c r="F57" s="19">
        <v>57</v>
      </c>
      <c r="G57" s="13" t="s">
        <v>91</v>
      </c>
      <c r="H57" s="14">
        <v>0.5</v>
      </c>
      <c r="I57" s="18">
        <v>0.44</v>
      </c>
    </row>
    <row r="58" spans="1:9" x14ac:dyDescent="0.25">
      <c r="A58" s="20" t="s">
        <v>92</v>
      </c>
      <c r="B58">
        <v>58</v>
      </c>
      <c r="C58">
        <f t="shared" si="0"/>
        <v>4.1392685158225077E-2</v>
      </c>
      <c r="F58" s="19">
        <v>58</v>
      </c>
      <c r="G58" s="13" t="s">
        <v>92</v>
      </c>
      <c r="H58" s="14">
        <v>1</v>
      </c>
      <c r="I58" s="18">
        <v>1.1000000000000001</v>
      </c>
    </row>
    <row r="59" spans="1:9" x14ac:dyDescent="0.25">
      <c r="A59" s="20" t="s">
        <v>93</v>
      </c>
      <c r="B59">
        <v>59</v>
      </c>
      <c r="C59">
        <f t="shared" si="0"/>
        <v>-0.769551078621726</v>
      </c>
      <c r="F59" s="19">
        <v>59</v>
      </c>
      <c r="G59" s="13" t="s">
        <v>93</v>
      </c>
      <c r="H59" s="14" t="s">
        <v>94</v>
      </c>
      <c r="I59" s="18">
        <v>0.17</v>
      </c>
    </row>
    <row r="60" spans="1:9" x14ac:dyDescent="0.25">
      <c r="A60" s="20" t="s">
        <v>95</v>
      </c>
      <c r="B60">
        <v>60</v>
      </c>
      <c r="C60">
        <f t="shared" si="0"/>
        <v>-8.092190762392612E-2</v>
      </c>
      <c r="F60" s="19">
        <v>60</v>
      </c>
      <c r="G60" s="13" t="s">
        <v>95</v>
      </c>
      <c r="H60" s="14">
        <v>0.9</v>
      </c>
      <c r="I60" s="18">
        <v>0.83</v>
      </c>
    </row>
    <row r="61" spans="1:9" x14ac:dyDescent="0.25">
      <c r="A61" s="20" t="s">
        <v>97</v>
      </c>
      <c r="B61">
        <v>62</v>
      </c>
      <c r="C61">
        <f t="shared" si="0"/>
        <v>-0.58502665202918203</v>
      </c>
      <c r="F61" s="19">
        <v>62</v>
      </c>
      <c r="G61" s="13" t="s">
        <v>97</v>
      </c>
      <c r="H61" s="14">
        <v>0.3</v>
      </c>
      <c r="I61" s="18">
        <v>0.26</v>
      </c>
    </row>
    <row r="62" spans="1:9" x14ac:dyDescent="0.25">
      <c r="A62" s="20" t="s">
        <v>98</v>
      </c>
      <c r="B62">
        <v>63</v>
      </c>
      <c r="C62">
        <f t="shared" si="0"/>
        <v>-1.0132282657337552</v>
      </c>
      <c r="F62" s="19">
        <v>63</v>
      </c>
      <c r="G62" s="13" t="s">
        <v>98</v>
      </c>
      <c r="H62" s="14" t="s">
        <v>99</v>
      </c>
      <c r="I62" s="18">
        <v>9.7000000000000003E-2</v>
      </c>
    </row>
    <row r="63" spans="1:9" x14ac:dyDescent="0.25">
      <c r="A63" s="20" t="s">
        <v>100</v>
      </c>
      <c r="B63">
        <v>64</v>
      </c>
      <c r="C63">
        <f t="shared" si="0"/>
        <v>-0.48148606012211248</v>
      </c>
      <c r="F63" s="19">
        <v>64</v>
      </c>
      <c r="G63" s="13" t="s">
        <v>100</v>
      </c>
      <c r="H63" s="14" t="s">
        <v>89</v>
      </c>
      <c r="I63" s="18">
        <v>0.33</v>
      </c>
    </row>
    <row r="64" spans="1:9" x14ac:dyDescent="0.25">
      <c r="A64" s="20" t="s">
        <v>101</v>
      </c>
      <c r="B64">
        <v>65</v>
      </c>
      <c r="C64">
        <f t="shared" si="0"/>
        <v>-1.2218487496163564</v>
      </c>
      <c r="F64" s="19">
        <v>65</v>
      </c>
      <c r="G64" s="13" t="s">
        <v>101</v>
      </c>
      <c r="H64" s="14" t="s">
        <v>134</v>
      </c>
      <c r="I64" s="18">
        <v>0.06</v>
      </c>
    </row>
    <row r="65" spans="1:9" x14ac:dyDescent="0.25">
      <c r="A65" s="20" t="s">
        <v>102</v>
      </c>
      <c r="B65">
        <v>66</v>
      </c>
      <c r="C65">
        <f t="shared" si="0"/>
        <v>-0.3979400086720376</v>
      </c>
      <c r="F65" s="19">
        <v>66</v>
      </c>
      <c r="G65" s="13" t="s">
        <v>102</v>
      </c>
      <c r="H65" s="14" t="s">
        <v>103</v>
      </c>
      <c r="I65" s="18">
        <v>0.4</v>
      </c>
    </row>
    <row r="66" spans="1:9" x14ac:dyDescent="0.25">
      <c r="A66" s="20" t="s">
        <v>104</v>
      </c>
      <c r="B66">
        <v>67</v>
      </c>
      <c r="C66">
        <f t="shared" si="0"/>
        <v>-1.0506099933550872</v>
      </c>
      <c r="F66" s="19">
        <v>67</v>
      </c>
      <c r="G66" s="13" t="s">
        <v>104</v>
      </c>
      <c r="H66" s="14" t="s">
        <v>135</v>
      </c>
      <c r="I66" s="18">
        <v>8.8999999999999996E-2</v>
      </c>
    </row>
    <row r="67" spans="1:9" x14ac:dyDescent="0.25">
      <c r="A67" s="20" t="s">
        <v>105</v>
      </c>
      <c r="B67">
        <v>68</v>
      </c>
      <c r="C67">
        <f t="shared" ref="C67:C84" si="1">LOG10(I67)</f>
        <v>-0.6020599913279624</v>
      </c>
      <c r="F67" s="19">
        <v>68</v>
      </c>
      <c r="G67" s="13" t="s">
        <v>105</v>
      </c>
      <c r="H67" s="14" t="s">
        <v>106</v>
      </c>
      <c r="I67" s="18">
        <v>0.25</v>
      </c>
    </row>
    <row r="68" spans="1:9" x14ac:dyDescent="0.25">
      <c r="A68" s="20" t="s">
        <v>107</v>
      </c>
      <c r="B68">
        <v>69</v>
      </c>
      <c r="C68">
        <f t="shared" si="1"/>
        <v>-1.4202164033831899</v>
      </c>
      <c r="F68" s="19">
        <v>69</v>
      </c>
      <c r="G68" s="13" t="s">
        <v>107</v>
      </c>
      <c r="H68" s="14" t="s">
        <v>136</v>
      </c>
      <c r="I68" s="18">
        <v>3.7999999999999999E-2</v>
      </c>
    </row>
    <row r="69" spans="1:9" x14ac:dyDescent="0.25">
      <c r="A69" s="20" t="s">
        <v>108</v>
      </c>
      <c r="B69">
        <v>70</v>
      </c>
      <c r="C69">
        <f t="shared" si="1"/>
        <v>-0.6020599913279624</v>
      </c>
      <c r="F69" s="19">
        <v>70</v>
      </c>
      <c r="G69" s="13" t="s">
        <v>108</v>
      </c>
      <c r="H69" s="14" t="s">
        <v>78</v>
      </c>
      <c r="I69" s="18">
        <v>0.25</v>
      </c>
    </row>
    <row r="70" spans="1:9" x14ac:dyDescent="0.25">
      <c r="A70" s="20" t="s">
        <v>109</v>
      </c>
      <c r="B70">
        <v>71</v>
      </c>
      <c r="C70">
        <f t="shared" si="1"/>
        <v>-1.431798275933005</v>
      </c>
      <c r="F70" s="19">
        <v>71</v>
      </c>
      <c r="G70" s="13" t="s">
        <v>109</v>
      </c>
      <c r="H70" s="14" t="s">
        <v>137</v>
      </c>
      <c r="I70" s="18">
        <v>3.6999999999999998E-2</v>
      </c>
    </row>
    <row r="71" spans="1:9" x14ac:dyDescent="0.25">
      <c r="A71" s="20" t="s">
        <v>110</v>
      </c>
      <c r="B71">
        <v>72</v>
      </c>
      <c r="C71">
        <f t="shared" si="1"/>
        <v>-0.82390874094431876</v>
      </c>
      <c r="F71" s="19">
        <v>72</v>
      </c>
      <c r="G71" s="13" t="s">
        <v>110</v>
      </c>
      <c r="H71" s="14" t="s">
        <v>111</v>
      </c>
      <c r="I71" s="18">
        <v>0.15</v>
      </c>
    </row>
    <row r="72" spans="1:9" x14ac:dyDescent="0.25">
      <c r="A72" s="20" t="s">
        <v>113</v>
      </c>
      <c r="B72">
        <v>73</v>
      </c>
      <c r="C72">
        <f t="shared" si="1"/>
        <v>-1.4202164033831899</v>
      </c>
      <c r="F72" s="19" t="s">
        <v>112</v>
      </c>
      <c r="G72" s="13" t="s">
        <v>113</v>
      </c>
      <c r="H72" s="14" t="s">
        <v>18</v>
      </c>
      <c r="I72" s="18">
        <v>3.7999999999999999E-2</v>
      </c>
    </row>
    <row r="73" spans="1:9" x14ac:dyDescent="0.25">
      <c r="A73" s="20" t="s">
        <v>114</v>
      </c>
      <c r="B73">
        <v>74</v>
      </c>
      <c r="C73">
        <f t="shared" si="1"/>
        <v>-0.88605664769316317</v>
      </c>
      <c r="F73" s="19">
        <v>74</v>
      </c>
      <c r="G73" s="13" t="s">
        <v>114</v>
      </c>
      <c r="H73" s="14" t="s">
        <v>138</v>
      </c>
      <c r="I73" s="18">
        <v>0.13</v>
      </c>
    </row>
    <row r="74" spans="1:9" x14ac:dyDescent="0.25">
      <c r="A74" s="20" t="s">
        <v>115</v>
      </c>
      <c r="B74">
        <v>75</v>
      </c>
      <c r="C74">
        <f t="shared" si="1"/>
        <v>-1.3010299956639813</v>
      </c>
      <c r="F74" s="19">
        <v>75</v>
      </c>
      <c r="G74" s="13" t="s">
        <v>115</v>
      </c>
      <c r="H74" s="14" t="s">
        <v>18</v>
      </c>
      <c r="I74" s="18">
        <v>0.05</v>
      </c>
    </row>
    <row r="75" spans="1:9" x14ac:dyDescent="0.25">
      <c r="A75" s="20" t="s">
        <v>117</v>
      </c>
      <c r="B75">
        <v>76</v>
      </c>
      <c r="C75">
        <f t="shared" si="1"/>
        <v>-0.17392519729917355</v>
      </c>
      <c r="F75" s="19">
        <v>76</v>
      </c>
      <c r="G75" s="13" t="s">
        <v>117</v>
      </c>
      <c r="H75" s="14">
        <v>0.8</v>
      </c>
      <c r="I75" s="18">
        <v>0.67</v>
      </c>
    </row>
    <row r="76" spans="1:9" x14ac:dyDescent="0.25">
      <c r="A76" s="20" t="s">
        <v>118</v>
      </c>
      <c r="B76">
        <v>77</v>
      </c>
      <c r="C76">
        <f t="shared" si="1"/>
        <v>-0.18045606445813131</v>
      </c>
      <c r="F76" s="19">
        <v>77</v>
      </c>
      <c r="G76" s="13" t="s">
        <v>118</v>
      </c>
      <c r="H76" s="14">
        <v>0.6</v>
      </c>
      <c r="I76" s="18">
        <v>0.66</v>
      </c>
    </row>
    <row r="77" spans="1:9" x14ac:dyDescent="0.25">
      <c r="A77" s="20" t="s">
        <v>119</v>
      </c>
      <c r="B77">
        <v>78</v>
      </c>
      <c r="C77">
        <f t="shared" si="1"/>
        <v>0.12710479836480765</v>
      </c>
      <c r="F77" s="19">
        <v>78</v>
      </c>
      <c r="G77" s="13" t="s">
        <v>119</v>
      </c>
      <c r="H77" s="14" t="s">
        <v>139</v>
      </c>
      <c r="I77" s="18">
        <v>1.34</v>
      </c>
    </row>
    <row r="78" spans="1:9" x14ac:dyDescent="0.25">
      <c r="A78" s="20" t="s">
        <v>120</v>
      </c>
      <c r="B78">
        <v>79</v>
      </c>
      <c r="C78">
        <f t="shared" si="1"/>
        <v>-0.72124639904717103</v>
      </c>
      <c r="F78" s="19">
        <v>79</v>
      </c>
      <c r="G78" s="13" t="s">
        <v>120</v>
      </c>
      <c r="H78" s="14" t="s">
        <v>140</v>
      </c>
      <c r="I78" s="18">
        <v>0.19</v>
      </c>
    </row>
    <row r="79" spans="1:9" x14ac:dyDescent="0.25">
      <c r="A79" s="20" t="s">
        <v>122</v>
      </c>
      <c r="B79">
        <v>80</v>
      </c>
      <c r="C79">
        <f t="shared" si="1"/>
        <v>-0.46852108295774486</v>
      </c>
      <c r="F79" s="19" t="s">
        <v>121</v>
      </c>
      <c r="G79" s="13" t="s">
        <v>122</v>
      </c>
      <c r="H79" s="14" t="s">
        <v>18</v>
      </c>
      <c r="I79" s="18">
        <v>0.34</v>
      </c>
    </row>
    <row r="80" spans="1:9" x14ac:dyDescent="0.25">
      <c r="A80" s="20" t="s">
        <v>123</v>
      </c>
      <c r="B80">
        <v>81</v>
      </c>
      <c r="C80">
        <f t="shared" si="1"/>
        <v>-0.72124639904717103</v>
      </c>
      <c r="F80" s="19">
        <v>81</v>
      </c>
      <c r="G80" s="13" t="s">
        <v>123</v>
      </c>
      <c r="H80" s="14" t="s">
        <v>141</v>
      </c>
      <c r="I80" s="18">
        <v>0.19</v>
      </c>
    </row>
    <row r="81" spans="1:9" x14ac:dyDescent="0.25">
      <c r="A81" s="20" t="s">
        <v>124</v>
      </c>
      <c r="B81">
        <v>82</v>
      </c>
      <c r="C81">
        <f t="shared" si="1"/>
        <v>0.49136169383427269</v>
      </c>
      <c r="F81" s="19">
        <v>82</v>
      </c>
      <c r="G81" s="13" t="s">
        <v>124</v>
      </c>
      <c r="H81" s="14">
        <v>2</v>
      </c>
      <c r="I81" s="18">
        <v>3.1</v>
      </c>
    </row>
    <row r="82" spans="1:9" x14ac:dyDescent="0.25">
      <c r="A82" s="20" t="s">
        <v>125</v>
      </c>
      <c r="B82">
        <v>83</v>
      </c>
      <c r="C82">
        <f t="shared" si="1"/>
        <v>-0.85387196432176193</v>
      </c>
      <c r="F82" s="19">
        <v>83</v>
      </c>
      <c r="G82" s="13" t="s">
        <v>125</v>
      </c>
      <c r="H82" s="14" t="s">
        <v>18</v>
      </c>
      <c r="I82" s="18">
        <v>0.14000000000000001</v>
      </c>
    </row>
    <row r="83" spans="1:9" x14ac:dyDescent="0.25">
      <c r="A83" s="20" t="s">
        <v>128</v>
      </c>
      <c r="B83">
        <v>90</v>
      </c>
      <c r="C83">
        <f t="shared" si="1"/>
        <v>-1.3467874862246563</v>
      </c>
      <c r="F83" s="19">
        <v>90</v>
      </c>
      <c r="G83" s="13" t="s">
        <v>128</v>
      </c>
      <c r="H83" s="14" t="s">
        <v>116</v>
      </c>
      <c r="I83" s="18">
        <v>4.4999999999999998E-2</v>
      </c>
    </row>
    <row r="84" spans="1:9" x14ac:dyDescent="0.25">
      <c r="A84" s="20" t="s">
        <v>130</v>
      </c>
      <c r="B84">
        <v>92</v>
      </c>
      <c r="C84">
        <f t="shared" si="1"/>
        <v>-1.744727494896694</v>
      </c>
      <c r="F84" s="19">
        <v>92</v>
      </c>
      <c r="G84" s="13" t="s">
        <v>130</v>
      </c>
      <c r="H84" s="14" t="s">
        <v>18</v>
      </c>
      <c r="I84" s="18">
        <v>1.7999999999999999E-2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Source</vt:lpstr>
      <vt:lpstr>ChartingCopy</vt:lpstr>
      <vt:lpstr>Chart1</vt:lpstr>
    </vt:vector>
  </TitlesOfParts>
  <Company>Royal Bank of Canada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Colin Gaudion</dc:creator>
  <cp:lastModifiedBy>Colin Gaudion</cp:lastModifiedBy>
  <cp:lastPrinted>2016-05-26T13:34:47Z</cp:lastPrinted>
  <dcterms:created xsi:type="dcterms:W3CDTF">2016-05-24T13:16:50Z</dcterms:created>
  <dcterms:modified xsi:type="dcterms:W3CDTF">2016-05-26T13:36:04Z</dcterms:modified>
</cp:coreProperties>
</file>